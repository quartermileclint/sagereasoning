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12-Month Projection" sheetId="2" state="visible" r:id="rId4"/>
    <sheet name="Scenario Analysis" sheetId="3" state="visible" r:id="rId5"/>
    <sheet name="Break-Even Analysis" sheetId="4" state="visible" r:id="rId6"/>
    <sheet name="Conversion Funn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<sst xmlns="http://schemas.openxmlformats.org/spreadsheetml/2006/main" count="202" uniqueCount="195">
  <si>
    <t xml:space="preserve">Parameter</t>
  </si>
  <si>
    <t xml:space="preserve">Value</t>
  </si>
  <si>
    <t xml:space="preserve">Source / Rationale</t>
  </si>
  <si>
    <t xml:space="preserve">UPFRONT COSTS (One-Time)</t>
  </si>
  <si>
    <t xml:space="preserve">Pty Ltd Registration (ASIC)</t>
  </si>
  <si>
    <t xml:space="preserve">Source: register.business.gov.au, 2026</t>
  </si>
  <si>
    <t xml:space="preserve">Director ID Application</t>
  </si>
  <si>
    <t xml:space="preserve">Free via abrs.gov.au</t>
  </si>
  <si>
    <t xml:space="preserve">Business Name Registration (3yr)</t>
  </si>
  <si>
    <t xml:space="preserve">Source: ASIC, $42/yr or $98/3yr</t>
  </si>
  <si>
    <t xml:space="preserve">Legal Review (Terms + Privacy)</t>
  </si>
  <si>
    <t xml:space="preserve">Estimate: Australian technology lawyer, 2026. Yellow = key assumption.</t>
  </si>
  <si>
    <t xml:space="preserve">PI + Cyber Insurance (Year 1)</t>
  </si>
  <si>
    <t xml:space="preserve">Source: Startupcover/BizCover, $900-$2,000 range. Midpoint used.</t>
  </si>
  <si>
    <t xml:space="preserve">Domain (sagereasoning.com) - already owned</t>
  </si>
  <si>
    <t xml:space="preserve">Already purchased</t>
  </si>
  <si>
    <t xml:space="preserve">Stripe Setup</t>
  </si>
  <si>
    <t xml:space="preserve">Free to set up; per-transaction fees apply</t>
  </si>
  <si>
    <t xml:space="preserve">TOTAL UPFRONT INVESTMENT</t>
  </si>
  <si>
    <t xml:space="preserve">MONTHLY FIXED COSTS</t>
  </si>
  <si>
    <t xml:space="preserve">Vercel Hosting (Pro)</t>
  </si>
  <si>
    <t xml:space="preserve">Source: vercel.com pricing, 2026</t>
  </si>
  <si>
    <t xml:space="preserve">Supabase (Pro)</t>
  </si>
  <si>
    <t xml:space="preserve">Source: supabase.com pricing, 2026</t>
  </si>
  <si>
    <t xml:space="preserve">Accounting Software (Xero)</t>
  </si>
  <si>
    <t xml:space="preserve">Source: xero.com.au, Starter plan</t>
  </si>
  <si>
    <t xml:space="preserve">Insurance (amortised monthly)</t>
  </si>
  <si>
    <t xml:space="preserve">$1,500/12. Conservative midpoint.</t>
  </si>
  <si>
    <t xml:space="preserve">ASIC Annual Fee (amortised monthly)</t>
  </si>
  <si>
    <t xml:space="preserve">$576/12</t>
  </si>
  <si>
    <t xml:space="preserve">Domain Renewal (amortised monthly)</t>
  </si>
  <si>
    <t xml:space="preserve">~$20/year</t>
  </si>
  <si>
    <t xml:space="preserve">Email Service (Resend/Buttondown)</t>
  </si>
  <si>
    <t xml:space="preserve">Free tier sufficient initially</t>
  </si>
  <si>
    <t xml:space="preserve">Miscellaneous/Buffer</t>
  </si>
  <si>
    <t xml:space="preserve">Contingency for minor costs</t>
  </si>
  <si>
    <t xml:space="preserve">TOTAL MONTHLY FIXED COSTS</t>
  </si>
  <si>
    <t xml:space="preserve">VARIABLE COST ASSUMPTIONS</t>
  </si>
  <si>
    <t xml:space="preserve">Anthropic API cost per scoring call</t>
  </si>
  <si>
    <t xml:space="preserve">Claude Sonnet input+output for scoring prompt. Yellow = key assumption.</t>
  </si>
  <si>
    <t xml:space="preserve">API markup (revenue per call / cost per call)</t>
  </si>
  <si>
    <t xml:space="preserve">200% of Anthropic cost = 100% gross margin on API calls</t>
  </si>
  <si>
    <t xml:space="preserve">Revenue per API call</t>
  </si>
  <si>
    <t xml:space="preserve">Gross margin per API call</t>
  </si>
  <si>
    <t xml:space="preserve">Stripe fee per transaction</t>
  </si>
  <si>
    <t xml:space="preserve">1.75% + $0.30</t>
  </si>
  <si>
    <t xml:space="preserve">Source: stripe.com.au, 2026</t>
  </si>
  <si>
    <t xml:space="preserve">CONVERSION &amp; GROWTH ASSUMPTIONS</t>
  </si>
  <si>
    <t xml:space="preserve">Free-to-Paid conversion rate (human Prokoptos)</t>
  </si>
  <si>
    <t xml:space="preserve">5% conservative. Industry SaaS freemium: 2-5%. Niche = higher intent.</t>
  </si>
  <si>
    <t xml:space="preserve">Agent free-to-paid conversion rate</t>
  </si>
  <si>
    <t xml:space="preserve">8%. Developers evaluating with free tier have high intent if product fits.</t>
  </si>
  <si>
    <t xml:space="preserve">Prokoptos monthly subscription price</t>
  </si>
  <si>
    <t xml:space="preserve">Avg paid agent API calls/month per developer</t>
  </si>
  <si>
    <t xml:space="preserve">Conservative. PMF doc notes 1,000-5,000 range for active integrations.</t>
  </si>
  <si>
    <t xml:space="preserve">Patronage rate (% of free users)</t>
  </si>
  <si>
    <t xml:space="preserve">3%. Research says 1-5% for mission-driven platforms.</t>
  </si>
  <si>
    <t xml:space="preserve">Avg patronage amount/month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</si>
  <si>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</si>
  <si>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</si>
  <si>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</si>
  <si>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</si>
  <si>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</si>
  <si>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</si>
  <si>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</si>
  <si>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</si>
  <si>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</si>
  <si>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</si>
  <si>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</si>
  <si>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</si>
  <si>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TOTAL</t>
  </si>
  <si>
    <t xml:space="preserve">USER GROWTH (Cumulative)</t>
  </si>
  <si>
    <t xml:space="preserve">Registered Human Users (cumulative)</t>
  </si>
  <si>
    <t xml:space="preserve">Agent Developers Registered (cumulative)</t>
  </si>
  <si>
    <t xml:space="preserve">PAYING CUSTOMERS</t>
  </si>
  <si>
    <t xml:space="preserve">Prokoptos Subscribers (human)</t>
  </si>
  <si>
    <t xml:space="preserve">Paid Agent Developers</t>
  </si>
  <si>
    <t xml:space="preserve">Patrons (free users contributing)</t>
  </si>
  <si>
    <t xml:space="preserve">REVENUE</t>
  </si>
  <si>
    <t xml:space="preserve">Prokoptos Subscription Revenue</t>
  </si>
  <si>
    <t xml:space="preserve">Agent API Revenue (paid calls)</t>
  </si>
  <si>
    <t xml:space="preserve">Patronage Revenue</t>
  </si>
  <si>
    <t xml:space="preserve">Virtue Badges / Accessories (net)</t>
  </si>
  <si>
    <t xml:space="preserve">Enterprise Licensing</t>
  </si>
  <si>
    <t xml:space="preserve">TOTAL MONTHLY REVENUE</t>
  </si>
  <si>
    <t xml:space="preserve">COSTS</t>
  </si>
  <si>
    <t xml:space="preserve">Monthly Fixed Costs</t>
  </si>
  <si>
    <t xml:space="preserve">Anthropic API Costs (paid agent calls)</t>
  </si>
  <si>
    <t xml:space="preserve">Anthropic API Costs (free tier + human scoring)</t>
  </si>
  <si>
    <t xml:space="preserve">Stripe Transaction Fees (~2%)</t>
  </si>
  <si>
    <t xml:space="preserve">TOTAL MONTHLY COSTS</t>
  </si>
  <si>
    <t xml:space="preserve">NET POSITION</t>
  </si>
  <si>
    <t xml:space="preserve">Monthly Net (Revenue - Costs)</t>
  </si>
  <si>
    <t xml:space="preserve">Cumulative Net (incl. upfront costs)</t>
  </si>
  <si>
    <t xml:space="preserve">Gross Margin on API Revenue</t>
  </si>
  <si>
    <t xml:space="preserve">Bear Case</t>
  </si>
  <si>
    <t xml:space="preserve">Base Case</t>
  </si>
  <si>
    <t xml:space="preserve">Bull Case</t>
  </si>
  <si>
    <t xml:space="preserve">Notes</t>
  </si>
  <si>
    <t xml:space="preserve">12-MONTH END STATE</t>
  </si>
  <si>
    <t xml:space="preserve">Registered Human Users</t>
  </si>
  <si>
    <t xml:space="preserve">Bear = slow organic. Bull = HN/PH viral moment.</t>
  </si>
  <si>
    <t xml:space="preserve">Agent Developers Registered</t>
  </si>
  <si>
    <t xml:space="preserve">Human Conversion Rate</t>
  </si>
  <si>
    <t xml:space="preserve">Agent Conversion Rate</t>
  </si>
  <si>
    <t xml:space="preserve">Avg Paid Agent Calls/Month</t>
  </si>
  <si>
    <t xml:space="preserve">MONTH 12 REVENUE (MONTHLY)</t>
  </si>
  <si>
    <t xml:space="preserve">Prokoptos Subscribers</t>
  </si>
  <si>
    <t xml:space="preserve">Prokoptos Revenue/month</t>
  </si>
  <si>
    <t xml:space="preserve">Agent API Revenue/month</t>
  </si>
  <si>
    <t xml:space="preserve">Other Revenue (patronage + badges + enterprise)</t>
  </si>
  <si>
    <t xml:space="preserve">TOTAL MONTH 12 REVENUE</t>
  </si>
  <si>
    <t xml:space="preserve">MONTH 12 COSTS (MONTHLY)</t>
  </si>
  <si>
    <t xml:space="preserve">Fixed Costs/month</t>
  </si>
  <si>
    <t xml:space="preserve">API Variable Costs/month</t>
  </si>
  <si>
    <t xml:space="preserve">TOTAL MONTH 12 COSTS</t>
  </si>
  <si>
    <t xml:space="preserve">VERDICTS</t>
  </si>
  <si>
    <t xml:space="preserve">Month 12 Net (Revenue - Costs)</t>
  </si>
  <si>
    <t xml:space="preserve">Annualised Run Rate (Month 12 x 12)</t>
  </si>
  <si>
    <t xml:space="preserve">Break-Even Prokoptos Subs (fixed costs only)</t>
  </si>
  <si>
    <t xml:space="preserve">(If ONLY Prokoptos revenue, no API)</t>
  </si>
  <si>
    <t xml:space="preserve">Total Upfront Investment Required</t>
  </si>
  <si>
    <t xml:space="preserve">Maximum capital at risk (upfront + 6 months losses)</t>
  </si>
  <si>
    <t xml:space="preserve">Worst case: 6 months of losses before pivoting</t>
  </si>
  <si>
    <t xml:space="preserve">Break-Even Metric</t>
  </si>
  <si>
    <t xml:space="preserve">Explanation</t>
  </si>
  <si>
    <t xml:space="preserve">SCENARIO A: Prokoptos Only (No API Revenue)</t>
  </si>
  <si>
    <t xml:space="preserve">Monthly fixed costs</t>
  </si>
  <si>
    <t xml:space="preserve">Net revenue per Prokoptos sub (after Stripe)</t>
  </si>
  <si>
    <t xml:space="preserve">Subscribers needed to break even</t>
  </si>
  <si>
    <t xml:space="preserve">This is the hardest path. Requires ~40 paying humans.</t>
  </si>
  <si>
    <t xml:space="preserve">Registered users needed (at 5% conversion)</t>
  </si>
  <si>
    <t xml:space="preserve">SCENARIO B: Prokoptos + 5 Paid Agent Developers</t>
  </si>
  <si>
    <t xml:space="preserve">Monthly API gross margin from 5 agents</t>
  </si>
  <si>
    <t xml:space="preserve">Remaining fixed costs after API margin</t>
  </si>
  <si>
    <t xml:space="preserve">Additional Prokoptos subs needed</t>
  </si>
  <si>
    <t xml:space="preserve">SCENARIO C: API Revenue Only (No Prokoptos)</t>
  </si>
  <si>
    <t xml:space="preserve">API calls/month needed to cover fixed costs</t>
  </si>
  <si>
    <t xml:space="preserve">Paid developers needed (at 2,000 calls/month each)</t>
  </si>
  <si>
    <t xml:space="preserve">PAYBACK PERIOD ON UPFRONT INVESTMENT</t>
  </si>
  <si>
    <t xml:space="preserve">Total upfront investment</t>
  </si>
  <si>
    <t xml:space="preserve">Avg monthly net income (base case, months 7-12)</t>
  </si>
  <si>
    <t xml:space="preserve">Months to recoup upfront (from Month 7)</t>
  </si>
  <si>
    <t xml:space="preserve">Funnel Stage</t>
  </si>
  <si>
    <t xml:space="preserve">Agent Track</t>
  </si>
  <si>
    <t xml:space="preserve">Human Track</t>
  </si>
  <si>
    <t xml:space="preserve">Conversion %</t>
  </si>
  <si>
    <t xml:space="preserve">Rationale / Risk Factor</t>
  </si>
  <si>
    <t xml:space="preserve">AGENT DEVELOPER FUNNEL (Month 12 Base Case)</t>
  </si>
  <si>
    <t xml:space="preserve">Discovers SageReasoning (MCP registry, GitHub, API dirs)</t>
  </si>
  <si>
    <t xml:space="preserve">100%</t>
  </si>
  <si>
    <t xml:space="preserve">Impressions from MCP registries, HN post, API directories</t>
  </si>
  <si>
    <t xml:space="preserve">Visits API docs / reads llms.txt</t>
  </si>
  <si>
    <t xml:space="preserve">20%</t>
  </si>
  <si>
    <t xml:space="preserve">Standard developer discovery-to-docs rate</t>
  </si>
  <si>
    <t xml:space="preserve">Registers for free API key</t>
  </si>
  <si>
    <t xml:space="preserve">50%</t>
  </si>
  <si>
    <t xml:space="preserve">Low friction: email only. 50% of docs visitors try it.</t>
  </si>
  <si>
    <t xml:space="preserve">Runs free Foundational Check (11 assessments)</t>
  </si>
  <si>
    <t xml:space="preserve">80%</t>
  </si>
  <si>
    <t xml:space="preserve">NEW: Free tier now gives meaningful standalone value</t>
  </si>
  <si>
    <t xml:space="preserve">Sees CTA with personalised tier result</t>
  </si>
  <si>
    <t xml:space="preserve">Automatic — shown after free assessment</t>
  </si>
  <si>
    <t xml:space="preserve">Upgrades to paid API key</t>
  </si>
  <si>
    <t xml:space="preserve">10%</t>
  </si>
  <si>
    <t xml:space="preserve">8% conversion on registered base. ~10% of CTA viewers.</t>
  </si>
  <si>
    <t xml:space="preserve">Active paid user after Month 1</t>
  </si>
  <si>
    <t xml:space="preserve">75%</t>
  </si>
  <si>
    <t xml:space="preserve">Retention: 75% of paid developers remain active</t>
  </si>
  <si>
    <t xml:space="preserve">HUMAN USER FUNNEL (Month 12 Base Case)</t>
  </si>
  <si>
    <t xml:space="preserve">Discovers SageReasoning (SEO, Reddit, Stoic Week)</t>
  </si>
  <si>
    <t xml:space="preserve">Impressions from SEO articles, Reddit, community posts</t>
  </si>
  <si>
    <t xml:space="preserve">Visits website</t>
  </si>
  <si>
    <t xml:space="preserve">30%</t>
  </si>
  <si>
    <t xml:space="preserve">Higher than agent track: Stoic community word-of-mouth</t>
  </si>
  <si>
    <t xml:space="preserve">Creates account (free Agora tier)</t>
  </si>
  <si>
    <t xml:space="preserve">67%</t>
  </si>
  <si>
    <t xml:space="preserve">Free tier is generous; Stoic community = high intent</t>
  </si>
  <si>
    <t xml:space="preserve">Completes baseline assessment</t>
  </si>
  <si>
    <t xml:space="preserve">60%</t>
  </si>
  <si>
    <t xml:space="preserve">Free and immediate value. No payment gate.</t>
  </si>
  <si>
    <t xml:space="preserve">Engages with journal / scenarios</t>
  </si>
  <si>
    <t xml:space="preserve">Ongoing use requires motivation and habit formation</t>
  </si>
  <si>
    <t xml:space="preserve">Converts to Prokoptos ($7/mo)</t>
  </si>
  <si>
    <t xml:space="preserve">17%</t>
  </si>
  <si>
    <t xml:space="preserve">5% of registered base. 17% of active engagers.</t>
  </si>
  <si>
    <t xml:space="preserve">Retains after Month 1</t>
  </si>
  <si>
    <t xml:space="preserve">Niche = higher retention than general SaaS (60-80%)</t>
  </si>
  <si>
    <t xml:space="preserve">KEY FUNNEL INSIGHT: NEW TIER ARCHITECTURE IMPACT</t>
  </si>
  <si>
    <t xml:space="preserve">Old model: Payment gate BEFORE value</t>
  </si>
  <si>
    <t xml:space="preserve">Estimated 2-3% conversion</t>
  </si>
  <si>
    <t xml:space="preserve">New model: Free 11-assessment result THEN payment</t>
  </si>
  <si>
    <t xml:space="preserve">Estimated 8-10% conversion</t>
  </si>
  <si>
    <t xml:space="preserve">Impact: 3-4x improvement in agent conversion rate</t>
  </si>
  <si>
    <t xml:space="preserve">AX research validated that deposit-before-value was primary conversion risk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</si>
</sst>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\$#,##0.000"/>
    <numFmt numFmtId="167" formatCode="0.0\x"/>
    <numFmt numFmtId="168" formatCode="0.0%"/>
    <numFmt numFmtId="169" formatCode="#,##0"/>
    <numFmt numFmtId="170" formatCode="\$#,##0;&quot;($&quot;#,##0\);\-"/>
    <numFmt numFmtId="171" formatCode="\$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color rgb="FF2F5496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4"/>
      <color rgb="FFFF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4"/>
      <color rgb="FF008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6E4F0"/>
      </patternFill>
    </fill>
    <fill>
      <patternFill patternType="solid">
        <fgColor rgb="FFFCE4E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8"/>
    <col collapsed="false" customWidth="true" hidden="false" outlineLevel="0" max="3" min="3" style="1" width="5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/>
    <row r="3" customFormat="false" ht="15" hidden="false" customHeight="true" outlineLevel="0" collapsed="false">
      <c r="A3" s="3" t="s">
        <v>3</v>
      </c>
      <c r="B3" s="4"/>
      <c r="C3" s="4"/>
    </row>
    <row r="4" customFormat="false" ht="15" hidden="false" customHeight="true" outlineLevel="0" collapsed="false">
      <c r="A4" s="1" t="s">
        <v>4</v>
      </c>
      <c r="B4" s="5" t="n">
        <v>576</v>
      </c>
      <c r="C4" s="6" t="s">
        <v>5</v>
      </c>
    </row>
    <row r="5" customFormat="false" ht="15" hidden="false" customHeight="true" outlineLevel="0" collapsed="false">
      <c r="A5" s="1" t="s">
        <v>6</v>
      </c>
      <c r="B5" s="5" t="n">
        <v>0</v>
      </c>
      <c r="C5" s="6" t="s">
        <v>7</v>
      </c>
    </row>
    <row r="6" customFormat="false" ht="15" hidden="false" customHeight="true" outlineLevel="0" collapsed="false">
      <c r="A6" s="1" t="s">
        <v>8</v>
      </c>
      <c r="B6" s="5" t="n">
        <v>98</v>
      </c>
      <c r="C6" s="6" t="s">
        <v>9</v>
      </c>
    </row>
    <row r="7" customFormat="false" ht="15" hidden="false" customHeight="true" outlineLevel="0" collapsed="false">
      <c r="A7" s="1" t="s">
        <v>10</v>
      </c>
      <c r="B7" s="7" t="n">
        <v>3500</v>
      </c>
      <c r="C7" s="6" t="s">
        <v>11</v>
      </c>
    </row>
    <row r="8" customFormat="false" ht="15" hidden="false" customHeight="true" outlineLevel="0" collapsed="false">
      <c r="A8" s="1" t="s">
        <v>12</v>
      </c>
      <c r="B8" s="7" t="n">
        <v>1500</v>
      </c>
      <c r="C8" s="6" t="s">
        <v>13</v>
      </c>
    </row>
    <row r="9" customFormat="false" ht="15" hidden="false" customHeight="true" outlineLevel="0" collapsed="false">
      <c r="A9" s="1" t="s">
        <v>14</v>
      </c>
      <c r="B9" s="5" t="n">
        <v>0</v>
      </c>
      <c r="C9" s="6" t="s">
        <v>15</v>
      </c>
    </row>
    <row r="10" customFormat="false" ht="15" hidden="false" customHeight="true" outlineLevel="0" collapsed="false">
      <c r="A10" s="1" t="s">
        <v>16</v>
      </c>
      <c r="B10" s="5" t="n">
        <v>0</v>
      </c>
      <c r="C10" s="6" t="s">
        <v>17</v>
      </c>
    </row>
    <row r="11" customFormat="false" ht="15" hidden="false" customHeight="true" outlineLevel="0" collapsed="false">
      <c r="A11" s="8" t="s">
        <v>18</v>
      </c>
      <c r="B11" s="9" t="n">
        <f aca="false">SUM(B4:B10)</f>
        <v>5674</v>
      </c>
    </row>
    <row r="12" customFormat="false" ht="15" hidden="false" customHeight="false" outlineLevel="0" collapsed="false"/>
    <row r="13" customFormat="false" ht="15" hidden="false" customHeight="true" outlineLevel="0" collapsed="false">
      <c r="A13" s="3" t="s">
        <v>19</v>
      </c>
      <c r="B13" s="4"/>
      <c r="C13" s="4"/>
    </row>
    <row r="14" customFormat="false" ht="15" hidden="false" customHeight="true" outlineLevel="0" collapsed="false">
      <c r="A14" s="1" t="s">
        <v>20</v>
      </c>
      <c r="B14" s="5" t="n">
        <v>20</v>
      </c>
      <c r="C14" s="6" t="s">
        <v>21</v>
      </c>
    </row>
    <row r="15" customFormat="false" ht="15" hidden="false" customHeight="true" outlineLevel="0" collapsed="false">
      <c r="A15" s="1" t="s">
        <v>22</v>
      </c>
      <c r="B15" s="5" t="n">
        <v>25</v>
      </c>
      <c r="C15" s="6" t="s">
        <v>23</v>
      </c>
    </row>
    <row r="16" customFormat="false" ht="15" hidden="false" customHeight="true" outlineLevel="0" collapsed="false">
      <c r="A16" s="1" t="s">
        <v>24</v>
      </c>
      <c r="B16" s="5" t="n">
        <v>29</v>
      </c>
      <c r="C16" s="6" t="s">
        <v>25</v>
      </c>
    </row>
    <row r="17" customFormat="false" ht="15" hidden="false" customHeight="true" outlineLevel="0" collapsed="false">
      <c r="A17" s="1" t="s">
        <v>26</v>
      </c>
      <c r="B17" s="5" t="n">
        <v>125</v>
      </c>
      <c r="C17" s="6" t="s">
        <v>27</v>
      </c>
    </row>
    <row r="18" customFormat="false" ht="15" hidden="false" customHeight="true" outlineLevel="0" collapsed="false">
      <c r="A18" s="1" t="s">
        <v>28</v>
      </c>
      <c r="B18" s="5" t="n">
        <v>48</v>
      </c>
      <c r="C18" s="6" t="s">
        <v>29</v>
      </c>
    </row>
    <row r="19" customFormat="false" ht="15" hidden="false" customHeight="true" outlineLevel="0" collapsed="false">
      <c r="A19" s="1" t="s">
        <v>30</v>
      </c>
      <c r="B19" s="5" t="n">
        <v>2</v>
      </c>
      <c r="C19" s="6" t="s">
        <v>31</v>
      </c>
    </row>
    <row r="20" customFormat="false" ht="15" hidden="false" customHeight="true" outlineLevel="0" collapsed="false">
      <c r="A20" s="1" t="s">
        <v>32</v>
      </c>
      <c r="B20" s="5" t="n">
        <v>0</v>
      </c>
      <c r="C20" s="6" t="s">
        <v>33</v>
      </c>
    </row>
    <row r="21" customFormat="false" ht="15" hidden="false" customHeight="true" outlineLevel="0" collapsed="false">
      <c r="A21" s="1" t="s">
        <v>34</v>
      </c>
      <c r="B21" s="5" t="n">
        <v>30</v>
      </c>
      <c r="C21" s="6" t="s">
        <v>35</v>
      </c>
    </row>
    <row r="22" customFormat="false" ht="15" hidden="false" customHeight="true" outlineLevel="0" collapsed="false">
      <c r="A22" s="8" t="s">
        <v>36</v>
      </c>
      <c r="B22" s="9" t="n">
        <f aca="false">SUM(B14:B21)</f>
        <v>279</v>
      </c>
    </row>
    <row r="23" customFormat="false" ht="15" hidden="false" customHeight="false" outlineLevel="0" collapsed="false"/>
    <row r="24" customFormat="false" ht="15" hidden="false" customHeight="true" outlineLevel="0" collapsed="false">
      <c r="A24" s="3" t="s">
        <v>37</v>
      </c>
      <c r="B24" s="4"/>
      <c r="C24" s="4"/>
    </row>
    <row r="25" customFormat="false" ht="15" hidden="false" customHeight="true" outlineLevel="0" collapsed="false">
      <c r="A25" s="1" t="s">
        <v>38</v>
      </c>
      <c r="B25" s="10" t="n">
        <v>0.015</v>
      </c>
      <c r="C25" s="6" t="s">
        <v>39</v>
      </c>
    </row>
    <row r="26" customFormat="false" ht="15" hidden="false" customHeight="true" outlineLevel="0" collapsed="false">
      <c r="A26" s="1" t="s">
        <v>40</v>
      </c>
      <c r="B26" s="11" t="n">
        <v>2</v>
      </c>
      <c r="C26" s="6" t="s">
        <v>41</v>
      </c>
    </row>
    <row r="27" customFormat="false" ht="15" hidden="false" customHeight="true" outlineLevel="0" collapsed="false">
      <c r="A27" s="1" t="s">
        <v>42</v>
      </c>
      <c r="B27" s="12" t="n">
        <f aca="false">B25*B26</f>
        <v>0.03</v>
      </c>
    </row>
    <row r="28" customFormat="false" ht="15" hidden="false" customHeight="true" outlineLevel="0" collapsed="false">
      <c r="A28" s="1" t="s">
        <v>43</v>
      </c>
      <c r="B28" s="12" t="n">
        <f aca="false">B27-B25</f>
        <v>0.015</v>
      </c>
    </row>
    <row r="29" customFormat="false" ht="15" hidden="false" customHeight="true" outlineLevel="0" collapsed="false">
      <c r="A29" s="1" t="s">
        <v>44</v>
      </c>
      <c r="B29" s="13" t="s">
        <v>45</v>
      </c>
      <c r="C29" s="6" t="s">
        <v>46</v>
      </c>
    </row>
    <row r="30" customFormat="false" ht="15" hidden="false" customHeight="false" outlineLevel="0" collapsed="false"/>
    <row r="31" customFormat="false" ht="15" hidden="false" customHeight="true" outlineLevel="0" collapsed="false">
      <c r="A31" s="3" t="s">
        <v>47</v>
      </c>
      <c r="B31" s="4"/>
      <c r="C31" s="4"/>
    </row>
    <row r="32" customFormat="false" ht="15" hidden="false" customHeight="true" outlineLevel="0" collapsed="false">
      <c r="A32" s="1" t="s">
        <v>48</v>
      </c>
      <c r="B32" s="14" t="n">
        <v>0.05</v>
      </c>
      <c r="C32" s="6" t="s">
        <v>49</v>
      </c>
    </row>
    <row r="33" customFormat="false" ht="15" hidden="false" customHeight="true" outlineLevel="0" collapsed="false">
      <c r="A33" s="1" t="s">
        <v>50</v>
      </c>
      <c r="B33" s="14" t="n">
        <v>0.08</v>
      </c>
      <c r="C33" s="6" t="s">
        <v>51</v>
      </c>
    </row>
    <row r="34" customFormat="false" ht="15" hidden="false" customHeight="true" outlineLevel="0" collapsed="false">
      <c r="A34" s="1" t="s">
        <v>52</v>
      </c>
      <c r="B34" s="5" t="n">
        <v>7</v>
      </c>
    </row>
    <row r="35" customFormat="false" ht="15" hidden="false" customHeight="true" outlineLevel="0" collapsed="false">
      <c r="A35" s="1" t="s">
        <v>53</v>
      </c>
      <c r="B35" s="15" t="n">
        <v>2000</v>
      </c>
      <c r="C35" s="6" t="s">
        <v>54</v>
      </c>
    </row>
    <row r="36" customFormat="false" ht="15" hidden="false" customHeight="true" outlineLevel="0" collapsed="false">
      <c r="A36" s="1" t="s">
        <v>55</v>
      </c>
      <c r="B36" s="16" t="n">
        <v>0.03</v>
      </c>
      <c r="C36" s="6" t="s">
        <v>56</v>
      </c>
    </row>
    <row r="37" customFormat="false" ht="15" hidden="false" customHeight="true" outlineLevel="0" collapsed="false">
      <c r="A37" s="1" t="s">
        <v>57</v>
      </c>
      <c r="B37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14" min="2" style="1" width="14"/>
  </cols>
  <sheetData>
    <row r="1" customFormat="false" ht="15" hidden="false" customHeight="true" outlineLevel="0" collapsed="false">
      <c r="A1" s="2"/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</row>
    <row r="2" customFormat="false" ht="15" hidden="false" customHeight="false" outlineLevel="0" collapsed="false"/>
    <row r="3" customFormat="false" ht="15" hidden="false" customHeight="true" outlineLevel="0" collapsed="false">
      <c r="A3" s="3" t="s">
        <v>71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true" outlineLevel="0" collapsed="false">
      <c r="A4" s="1" t="s">
        <v>72</v>
      </c>
      <c r="B4" s="13" t="n">
        <v>20</v>
      </c>
      <c r="C4" s="13" t="n">
        <v>50</v>
      </c>
      <c r="D4" s="13" t="n">
        <v>100</v>
      </c>
      <c r="E4" s="13" t="n">
        <v>170</v>
      </c>
      <c r="F4" s="13" t="n">
        <v>260</v>
      </c>
      <c r="G4" s="13" t="n">
        <v>370</v>
      </c>
      <c r="H4" s="13" t="n">
        <v>500</v>
      </c>
      <c r="I4" s="13" t="n">
        <v>650</v>
      </c>
      <c r="J4" s="13" t="n">
        <v>820</v>
      </c>
      <c r="K4" s="13" t="n">
        <v>1000</v>
      </c>
      <c r="L4" s="13" t="n">
        <v>1200</v>
      </c>
      <c r="M4" s="13" t="n">
        <v>1400</v>
      </c>
    </row>
    <row r="5" customFormat="false" ht="15" hidden="false" customHeight="true" outlineLevel="0" collapsed="false">
      <c r="A5" s="1" t="s">
        <v>73</v>
      </c>
      <c r="B5" s="13" t="n">
        <v>5</v>
      </c>
      <c r="C5" s="13" t="n">
        <v>12</v>
      </c>
      <c r="D5" s="13" t="n">
        <v>25</v>
      </c>
      <c r="E5" s="13" t="n">
        <v>40</v>
      </c>
      <c r="F5" s="13" t="n">
        <v>60</v>
      </c>
      <c r="G5" s="13" t="n">
        <v>85</v>
      </c>
      <c r="H5" s="13" t="n">
        <v>115</v>
      </c>
      <c r="I5" s="13" t="n">
        <v>150</v>
      </c>
      <c r="J5" s="13" t="n">
        <v>190</v>
      </c>
      <c r="K5" s="13" t="n">
        <v>235</v>
      </c>
      <c r="L5" s="13" t="n">
        <v>285</v>
      </c>
      <c r="M5" s="13" t="n">
        <v>340</v>
      </c>
    </row>
    <row r="6" customFormat="false" ht="15" hidden="false" customHeight="false" outlineLevel="0" collapsed="false"/>
    <row r="7" customFormat="false" ht="15" hidden="false" customHeight="true" outlineLevel="0" collapsed="false">
      <c r="A7" s="3" t="s">
        <v>74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true" outlineLevel="0" collapsed="false">
      <c r="A8" s="1" t="s">
        <v>75</v>
      </c>
      <c r="B8" s="17" t="n">
        <f aca="false">ROUND(B4*Assumptions!B32,0)</f>
        <v>1</v>
      </c>
      <c r="C8" s="17" t="n">
        <f aca="false">ROUND(C4*Assumptions!B32,0)</f>
        <v>3</v>
      </c>
      <c r="D8" s="17" t="n">
        <f aca="false">ROUND(D4*Assumptions!B32,0)</f>
        <v>5</v>
      </c>
      <c r="E8" s="17" t="n">
        <f aca="false">ROUND(E4*Assumptions!B32,0)</f>
        <v>9</v>
      </c>
      <c r="F8" s="17" t="n">
        <f aca="false">ROUND(F4*Assumptions!B32,0)</f>
        <v>13</v>
      </c>
      <c r="G8" s="17" t="n">
        <f aca="false">ROUND(G4*Assumptions!B32,0)</f>
        <v>19</v>
      </c>
      <c r="H8" s="17" t="n">
        <f aca="false">ROUND(H4*Assumptions!B32,0)</f>
        <v>25</v>
      </c>
      <c r="I8" s="17" t="n">
        <f aca="false">ROUND(I4*Assumptions!B32,0)</f>
        <v>33</v>
      </c>
      <c r="J8" s="17" t="n">
        <f aca="false">ROUND(J4*Assumptions!B32,0)</f>
        <v>41</v>
      </c>
      <c r="K8" s="17" t="n">
        <f aca="false">ROUND(K4*Assumptions!B32,0)</f>
        <v>50</v>
      </c>
      <c r="L8" s="17" t="n">
        <f aca="false">ROUND(L4*Assumptions!B32,0)</f>
        <v>60</v>
      </c>
      <c r="M8" s="17" t="n">
        <f aca="false">ROUND(M4*Assumptions!B32,0)</f>
        <v>70</v>
      </c>
    </row>
    <row r="9" customFormat="false" ht="15" hidden="false" customHeight="true" outlineLevel="0" collapsed="false">
      <c r="A9" s="1" t="s">
        <v>76</v>
      </c>
      <c r="B9" s="17" t="n">
        <f aca="false">ROUND(B5*Assumptions!B33,0)</f>
        <v>0</v>
      </c>
      <c r="C9" s="17" t="n">
        <f aca="false">ROUND(C5*Assumptions!B33,0)</f>
        <v>1</v>
      </c>
      <c r="D9" s="17" t="n">
        <f aca="false">ROUND(D5*Assumptions!B33,0)</f>
        <v>2</v>
      </c>
      <c r="E9" s="17" t="n">
        <f aca="false">ROUND(E5*Assumptions!B33,0)</f>
        <v>3</v>
      </c>
      <c r="F9" s="17" t="n">
        <f aca="false">ROUND(F5*Assumptions!B33,0)</f>
        <v>5</v>
      </c>
      <c r="G9" s="17" t="n">
        <f aca="false">ROUND(G5*Assumptions!B33,0)</f>
        <v>7</v>
      </c>
      <c r="H9" s="17" t="n">
        <f aca="false">ROUND(H5*Assumptions!B33,0)</f>
        <v>9</v>
      </c>
      <c r="I9" s="17" t="n">
        <f aca="false">ROUND(I5*Assumptions!B33,0)</f>
        <v>12</v>
      </c>
      <c r="J9" s="17" t="n">
        <f aca="false">ROUND(J5*Assumptions!B33,0)</f>
        <v>15</v>
      </c>
      <c r="K9" s="17" t="n">
        <f aca="false">ROUND(K5*Assumptions!B33,0)</f>
        <v>19</v>
      </c>
      <c r="L9" s="17" t="n">
        <f aca="false">ROUND(L5*Assumptions!B33,0)</f>
        <v>23</v>
      </c>
      <c r="M9" s="17" t="n">
        <f aca="false">ROUND(M5*Assumptions!B33,0)</f>
        <v>27</v>
      </c>
    </row>
    <row r="10" customFormat="false" ht="15" hidden="false" customHeight="true" outlineLevel="0" collapsed="false">
      <c r="A10" s="1" t="s">
        <v>77</v>
      </c>
      <c r="B10" s="17" t="n">
        <f aca="false">ROUND((B4-B8)*Assumptions!B36,0)</f>
        <v>1</v>
      </c>
      <c r="C10" s="17" t="n">
        <f aca="false">ROUND((C4-C8)*Assumptions!B36,0)</f>
        <v>1</v>
      </c>
      <c r="D10" s="17" t="n">
        <f aca="false">ROUND((D4-D8)*Assumptions!B36,0)</f>
        <v>3</v>
      </c>
      <c r="E10" s="17" t="n">
        <f aca="false">ROUND((E4-E8)*Assumptions!B36,0)</f>
        <v>5</v>
      </c>
      <c r="F10" s="17" t="n">
        <f aca="false">ROUND((F4-F8)*Assumptions!B36,0)</f>
        <v>7</v>
      </c>
      <c r="G10" s="17" t="n">
        <f aca="false">ROUND((G4-G8)*Assumptions!B36,0)</f>
        <v>11</v>
      </c>
      <c r="H10" s="17" t="n">
        <f aca="false">ROUND((H4-H8)*Assumptions!B36,0)</f>
        <v>14</v>
      </c>
      <c r="I10" s="17" t="n">
        <f aca="false">ROUND((I4-I8)*Assumptions!B36,0)</f>
        <v>19</v>
      </c>
      <c r="J10" s="17" t="n">
        <f aca="false">ROUND((J4-J8)*Assumptions!B36,0)</f>
        <v>23</v>
      </c>
      <c r="K10" s="17" t="n">
        <f aca="false">ROUND((K4-K8)*Assumptions!B36,0)</f>
        <v>29</v>
      </c>
      <c r="L10" s="17" t="n">
        <f aca="false">ROUND((L4-L8)*Assumptions!B36,0)</f>
        <v>34</v>
      </c>
      <c r="M10" s="17" t="n">
        <f aca="false">ROUND((M4-M8)*Assumptions!B36,0)</f>
        <v>40</v>
      </c>
    </row>
    <row r="11" customFormat="false" ht="15" hidden="false" customHeight="false" outlineLevel="0" collapsed="false"/>
    <row r="12" customFormat="false" ht="15" hidden="false" customHeight="true" outlineLevel="0" collapsed="false">
      <c r="A12" s="3" t="s">
        <v>78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true" outlineLevel="0" collapsed="false">
      <c r="A13" s="1" t="s">
        <v>79</v>
      </c>
      <c r="B13" s="18" t="n">
        <f aca="false">B8*Assumptions!B34</f>
        <v>7</v>
      </c>
      <c r="C13" s="18" t="n">
        <f aca="false">C8*Assumptions!B34</f>
        <v>21</v>
      </c>
      <c r="D13" s="18" t="n">
        <f aca="false">D8*Assumptions!B34</f>
        <v>35</v>
      </c>
      <c r="E13" s="18" t="n">
        <f aca="false">E8*Assumptions!B34</f>
        <v>63</v>
      </c>
      <c r="F13" s="18" t="n">
        <f aca="false">F8*Assumptions!B34</f>
        <v>91</v>
      </c>
      <c r="G13" s="18" t="n">
        <f aca="false">G8*Assumptions!B34</f>
        <v>133</v>
      </c>
      <c r="H13" s="18" t="n">
        <f aca="false">H8*Assumptions!B34</f>
        <v>175</v>
      </c>
      <c r="I13" s="18" t="n">
        <f aca="false">I8*Assumptions!B34</f>
        <v>231</v>
      </c>
      <c r="J13" s="18" t="n">
        <f aca="false">J8*Assumptions!B34</f>
        <v>287</v>
      </c>
      <c r="K13" s="18" t="n">
        <f aca="false">K8*Assumptions!B34</f>
        <v>350</v>
      </c>
      <c r="L13" s="18" t="n">
        <f aca="false">L8*Assumptions!B34</f>
        <v>420</v>
      </c>
      <c r="M13" s="18" t="n">
        <f aca="false">M8*Assumptions!B34</f>
        <v>490</v>
      </c>
    </row>
    <row r="14" customFormat="false" ht="15" hidden="false" customHeight="true" outlineLevel="0" collapsed="false">
      <c r="A14" s="1" t="s">
        <v>80</v>
      </c>
      <c r="B14" s="18" t="n">
        <f aca="false">B9*Assumptions!B35*Assumptions!B27</f>
        <v>0</v>
      </c>
      <c r="C14" s="18" t="n">
        <f aca="false">C9*Assumptions!B35*Assumptions!B27</f>
        <v>60</v>
      </c>
      <c r="D14" s="18" t="n">
        <f aca="false">D9*Assumptions!B35*Assumptions!B27</f>
        <v>120</v>
      </c>
      <c r="E14" s="18" t="n">
        <f aca="false">E9*Assumptions!B35*Assumptions!B27</f>
        <v>180</v>
      </c>
      <c r="F14" s="18" t="n">
        <f aca="false">F9*Assumptions!B35*Assumptions!B27</f>
        <v>300</v>
      </c>
      <c r="G14" s="18" t="n">
        <f aca="false">G9*Assumptions!B35*Assumptions!B27</f>
        <v>420</v>
      </c>
      <c r="H14" s="18" t="n">
        <f aca="false">H9*Assumptions!B35*Assumptions!B27</f>
        <v>540</v>
      </c>
      <c r="I14" s="18" t="n">
        <f aca="false">I9*Assumptions!B35*Assumptions!B27</f>
        <v>720</v>
      </c>
      <c r="J14" s="18" t="n">
        <f aca="false">J9*Assumptions!B35*Assumptions!B27</f>
        <v>900</v>
      </c>
      <c r="K14" s="18" t="n">
        <f aca="false">K9*Assumptions!B35*Assumptions!B27</f>
        <v>1140</v>
      </c>
      <c r="L14" s="18" t="n">
        <f aca="false">L9*Assumptions!B35*Assumptions!B27</f>
        <v>1380</v>
      </c>
      <c r="M14" s="18" t="n">
        <f aca="false">M9*Assumptions!B35*Assumptions!B27</f>
        <v>1620</v>
      </c>
    </row>
    <row r="15" customFormat="false" ht="15" hidden="false" customHeight="true" outlineLevel="0" collapsed="false">
      <c r="A15" s="1" t="s">
        <v>81</v>
      </c>
      <c r="B15" s="18" t="n">
        <f aca="false">B10*Assumptions!B37</f>
        <v>5</v>
      </c>
      <c r="C15" s="18" t="n">
        <f aca="false">C10*Assumptions!B37</f>
        <v>5</v>
      </c>
      <c r="D15" s="18" t="n">
        <f aca="false">D10*Assumptions!B37</f>
        <v>15</v>
      </c>
      <c r="E15" s="18" t="n">
        <f aca="false">E10*Assumptions!B37</f>
        <v>25</v>
      </c>
      <c r="F15" s="18" t="n">
        <f aca="false">F10*Assumptions!B37</f>
        <v>35</v>
      </c>
      <c r="G15" s="18" t="n">
        <f aca="false">G10*Assumptions!B37</f>
        <v>55</v>
      </c>
      <c r="H15" s="18" t="n">
        <f aca="false">H10*Assumptions!B37</f>
        <v>70</v>
      </c>
      <c r="I15" s="18" t="n">
        <f aca="false">I10*Assumptions!B37</f>
        <v>95</v>
      </c>
      <c r="J15" s="18" t="n">
        <f aca="false">J10*Assumptions!B37</f>
        <v>115</v>
      </c>
      <c r="K15" s="18" t="n">
        <f aca="false">K10*Assumptions!B37</f>
        <v>145</v>
      </c>
      <c r="L15" s="18" t="n">
        <f aca="false">L10*Assumptions!B37</f>
        <v>170</v>
      </c>
      <c r="M15" s="18" t="n">
        <f aca="false">M10*Assumptions!B37</f>
        <v>200</v>
      </c>
    </row>
    <row r="16" customFormat="false" ht="15" hidden="false" customHeight="true" outlineLevel="0" collapsed="false">
      <c r="A16" s="1" t="s">
        <v>82</v>
      </c>
      <c r="B16" s="5" t="n">
        <v>0</v>
      </c>
      <c r="C16" s="5" t="n">
        <v>0</v>
      </c>
      <c r="D16" s="5" t="n">
        <v>0</v>
      </c>
      <c r="E16" s="5" t="n">
        <v>45</v>
      </c>
      <c r="F16" s="5" t="n">
        <v>60</v>
      </c>
      <c r="G16" s="5" t="n">
        <v>80</v>
      </c>
      <c r="H16" s="5" t="n">
        <v>100</v>
      </c>
      <c r="I16" s="5" t="n">
        <v>120</v>
      </c>
      <c r="J16" s="5" t="n">
        <v>140</v>
      </c>
      <c r="K16" s="5" t="n">
        <v>150</v>
      </c>
      <c r="L16" s="5" t="n">
        <v>160</v>
      </c>
      <c r="M16" s="5" t="n">
        <v>180</v>
      </c>
    </row>
    <row r="17" customFormat="false" ht="15" hidden="false" customHeight="true" outlineLevel="0" collapsed="false">
      <c r="A17" s="1" t="s">
        <v>83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500</v>
      </c>
      <c r="K17" s="5" t="n">
        <v>500</v>
      </c>
      <c r="L17" s="5" t="n">
        <v>500</v>
      </c>
      <c r="M17" s="5" t="n">
        <v>500</v>
      </c>
    </row>
    <row r="18" customFormat="false" ht="15" hidden="false" customHeight="true" outlineLevel="0" collapsed="false">
      <c r="A18" s="8" t="s">
        <v>84</v>
      </c>
      <c r="B18" s="19" t="n">
        <f aca="false">SUM(B13:B17)</f>
        <v>12</v>
      </c>
      <c r="C18" s="19" t="n">
        <f aca="false">SUM(C13:C17)</f>
        <v>86</v>
      </c>
      <c r="D18" s="19" t="n">
        <f aca="false">SUM(D13:D17)</f>
        <v>170</v>
      </c>
      <c r="E18" s="19" t="n">
        <f aca="false">SUM(E13:E17)</f>
        <v>313</v>
      </c>
      <c r="F18" s="19" t="n">
        <f aca="false">SUM(F13:F17)</f>
        <v>486</v>
      </c>
      <c r="G18" s="19" t="n">
        <f aca="false">SUM(G13:G17)</f>
        <v>688</v>
      </c>
      <c r="H18" s="19" t="n">
        <f aca="false">SUM(H13:H17)</f>
        <v>885</v>
      </c>
      <c r="I18" s="19" t="n">
        <f aca="false">SUM(I13:I17)</f>
        <v>1166</v>
      </c>
      <c r="J18" s="19" t="n">
        <f aca="false">SUM(J13:J17)</f>
        <v>1942</v>
      </c>
      <c r="K18" s="19" t="n">
        <f aca="false">SUM(K13:K17)</f>
        <v>2285</v>
      </c>
      <c r="L18" s="19" t="n">
        <f aca="false">SUM(L13:L17)</f>
        <v>2630</v>
      </c>
      <c r="M18" s="19" t="n">
        <f aca="false">SUM(M13:M17)</f>
        <v>2990</v>
      </c>
      <c r="N18" s="9" t="n">
        <f aca="false">SUM(B18:M18)</f>
        <v>13653</v>
      </c>
    </row>
    <row r="19" customFormat="false" ht="15" hidden="false" customHeight="false" outlineLevel="0" collapsed="false"/>
    <row r="20" customFormat="false" ht="15" hidden="false" customHeight="true" outlineLevel="0" collapsed="false">
      <c r="A20" s="3" t="s">
        <v>85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" hidden="false" customHeight="true" outlineLevel="0" collapsed="false">
      <c r="A21" s="1" t="s">
        <v>86</v>
      </c>
      <c r="B21" s="18" t="n">
        <f aca="false">Assumptions!B22</f>
        <v>279</v>
      </c>
      <c r="C21" s="18" t="n">
        <f aca="false">Assumptions!B22</f>
        <v>279</v>
      </c>
      <c r="D21" s="18" t="n">
        <f aca="false">Assumptions!B22</f>
        <v>279</v>
      </c>
      <c r="E21" s="18" t="n">
        <f aca="false">Assumptions!B22</f>
        <v>279</v>
      </c>
      <c r="F21" s="18" t="n">
        <f aca="false">Assumptions!B22</f>
        <v>279</v>
      </c>
      <c r="G21" s="18" t="n">
        <f aca="false">Assumptions!B22</f>
        <v>279</v>
      </c>
      <c r="H21" s="18" t="n">
        <f aca="false">Assumptions!B22</f>
        <v>279</v>
      </c>
      <c r="I21" s="18" t="n">
        <f aca="false">Assumptions!B22</f>
        <v>279</v>
      </c>
      <c r="J21" s="18" t="n">
        <f aca="false">Assumptions!B22</f>
        <v>279</v>
      </c>
      <c r="K21" s="18" t="n">
        <f aca="false">Assumptions!B22</f>
        <v>279</v>
      </c>
      <c r="L21" s="18" t="n">
        <f aca="false">Assumptions!B22</f>
        <v>279</v>
      </c>
      <c r="M21" s="18" t="n">
        <f aca="false">Assumptions!B22</f>
        <v>279</v>
      </c>
    </row>
    <row r="22" customFormat="false" ht="15" hidden="false" customHeight="true" outlineLevel="0" collapsed="false">
      <c r="A22" s="1" t="s">
        <v>87</v>
      </c>
      <c r="B22" s="18" t="n">
        <f aca="false">B9*Assumptions!B35*Assumptions!B25</f>
        <v>0</v>
      </c>
      <c r="C22" s="18" t="n">
        <f aca="false">C9*Assumptions!B35*Assumptions!B25</f>
        <v>30</v>
      </c>
      <c r="D22" s="18" t="n">
        <f aca="false">D9*Assumptions!B35*Assumptions!B25</f>
        <v>60</v>
      </c>
      <c r="E22" s="18" t="n">
        <f aca="false">E9*Assumptions!B35*Assumptions!B25</f>
        <v>90</v>
      </c>
      <c r="F22" s="18" t="n">
        <f aca="false">F9*Assumptions!B35*Assumptions!B25</f>
        <v>150</v>
      </c>
      <c r="G22" s="18" t="n">
        <f aca="false">G9*Assumptions!B35*Assumptions!B25</f>
        <v>210</v>
      </c>
      <c r="H22" s="18" t="n">
        <f aca="false">H9*Assumptions!B35*Assumptions!B25</f>
        <v>270</v>
      </c>
      <c r="I22" s="18" t="n">
        <f aca="false">I9*Assumptions!B35*Assumptions!B25</f>
        <v>360</v>
      </c>
      <c r="J22" s="18" t="n">
        <f aca="false">J9*Assumptions!B35*Assumptions!B25</f>
        <v>450</v>
      </c>
      <c r="K22" s="18" t="n">
        <f aca="false">K9*Assumptions!B35*Assumptions!B25</f>
        <v>570</v>
      </c>
      <c r="L22" s="18" t="n">
        <f aca="false">L9*Assumptions!B35*Assumptions!B25</f>
        <v>690</v>
      </c>
      <c r="M22" s="18" t="n">
        <f aca="false">M9*Assumptions!B35*Assumptions!B25</f>
        <v>810</v>
      </c>
    </row>
    <row r="23" customFormat="false" ht="15" hidden="false" customHeight="true" outlineLevel="0" collapsed="false">
      <c r="A23" s="1" t="s">
        <v>88</v>
      </c>
      <c r="B23" s="5" t="n">
        <v>15</v>
      </c>
      <c r="C23" s="5" t="n">
        <v>20</v>
      </c>
      <c r="D23" s="5" t="n">
        <v>30</v>
      </c>
      <c r="E23" s="5" t="n">
        <v>40</v>
      </c>
      <c r="F23" s="5" t="n">
        <v>50</v>
      </c>
      <c r="G23" s="5" t="n">
        <v>60</v>
      </c>
      <c r="H23" s="5" t="n">
        <v>70</v>
      </c>
      <c r="I23" s="5" t="n">
        <v>80</v>
      </c>
      <c r="J23" s="5" t="n">
        <v>90</v>
      </c>
      <c r="K23" s="5" t="n">
        <v>100</v>
      </c>
      <c r="L23" s="5" t="n">
        <v>110</v>
      </c>
      <c r="M23" s="5" t="n">
        <v>120</v>
      </c>
    </row>
    <row r="24" customFormat="false" ht="15" hidden="false" customHeight="true" outlineLevel="0" collapsed="false">
      <c r="A24" s="1" t="s">
        <v>89</v>
      </c>
      <c r="B24" s="18" t="n">
        <f aca="false">B18*0.02</f>
        <v>0.24</v>
      </c>
      <c r="C24" s="18" t="n">
        <f aca="false">C18*0.02</f>
        <v>1.72</v>
      </c>
      <c r="D24" s="18" t="n">
        <f aca="false">D18*0.02</f>
        <v>3.4</v>
      </c>
      <c r="E24" s="18" t="n">
        <f aca="false">E18*0.02</f>
        <v>6.26</v>
      </c>
      <c r="F24" s="18" t="n">
        <f aca="false">F18*0.02</f>
        <v>9.72</v>
      </c>
      <c r="G24" s="18" t="n">
        <f aca="false">G18*0.02</f>
        <v>13.76</v>
      </c>
      <c r="H24" s="18" t="n">
        <f aca="false">H18*0.02</f>
        <v>17.7</v>
      </c>
      <c r="I24" s="18" t="n">
        <f aca="false">I18*0.02</f>
        <v>23.32</v>
      </c>
      <c r="J24" s="18" t="n">
        <f aca="false">J18*0.02</f>
        <v>38.84</v>
      </c>
      <c r="K24" s="18" t="n">
        <f aca="false">K18*0.02</f>
        <v>45.7</v>
      </c>
      <c r="L24" s="18" t="n">
        <f aca="false">L18*0.02</f>
        <v>52.6</v>
      </c>
      <c r="M24" s="18" t="n">
        <f aca="false">M18*0.02</f>
        <v>59.8</v>
      </c>
    </row>
    <row r="25" customFormat="false" ht="15" hidden="false" customHeight="true" outlineLevel="0" collapsed="false">
      <c r="A25" s="8" t="s">
        <v>90</v>
      </c>
      <c r="B25" s="20" t="n">
        <f aca="false">SUM(B21:B24)</f>
        <v>294.24</v>
      </c>
      <c r="C25" s="20" t="n">
        <f aca="false">SUM(C21:C24)</f>
        <v>330.72</v>
      </c>
      <c r="D25" s="20" t="n">
        <f aca="false">SUM(D21:D24)</f>
        <v>372.4</v>
      </c>
      <c r="E25" s="20" t="n">
        <f aca="false">SUM(E21:E24)</f>
        <v>415.26</v>
      </c>
      <c r="F25" s="20" t="n">
        <f aca="false">SUM(F21:F24)</f>
        <v>488.72</v>
      </c>
      <c r="G25" s="20" t="n">
        <f aca="false">SUM(G21:G24)</f>
        <v>562.76</v>
      </c>
      <c r="H25" s="20" t="n">
        <f aca="false">SUM(H21:H24)</f>
        <v>636.7</v>
      </c>
      <c r="I25" s="20" t="n">
        <f aca="false">SUM(I21:I24)</f>
        <v>742.32</v>
      </c>
      <c r="J25" s="20" t="n">
        <f aca="false">SUM(J21:J24)</f>
        <v>857.84</v>
      </c>
      <c r="K25" s="20" t="n">
        <f aca="false">SUM(K21:K24)</f>
        <v>994.7</v>
      </c>
      <c r="L25" s="20" t="n">
        <f aca="false">SUM(L21:L24)</f>
        <v>1131.6</v>
      </c>
      <c r="M25" s="20" t="n">
        <f aca="false">SUM(M21:M24)</f>
        <v>1268.8</v>
      </c>
      <c r="N25" s="9" t="n">
        <f aca="false">SUM(B25:M25)</f>
        <v>8096.06</v>
      </c>
    </row>
    <row r="26" customFormat="false" ht="15" hidden="false" customHeight="false" outlineLevel="0" collapsed="false"/>
    <row r="27" customFormat="false" ht="15" hidden="false" customHeight="true" outlineLevel="0" collapsed="false">
      <c r="A27" s="3" t="s">
        <v>91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true" outlineLevel="0" collapsed="false">
      <c r="A28" s="1" t="s">
        <v>92</v>
      </c>
      <c r="B28" s="21" t="n">
        <f aca="false">B18-B25</f>
        <v>-282.24</v>
      </c>
      <c r="C28" s="21" t="n">
        <f aca="false">C18-C25</f>
        <v>-244.72</v>
      </c>
      <c r="D28" s="21" t="n">
        <f aca="false">D18-D25</f>
        <v>-202.4</v>
      </c>
      <c r="E28" s="21" t="n">
        <f aca="false">E18-E25</f>
        <v>-102.26</v>
      </c>
      <c r="F28" s="21" t="n">
        <f aca="false">F18-F25</f>
        <v>-2.72000000000003</v>
      </c>
      <c r="G28" s="21" t="n">
        <f aca="false">G18-G25</f>
        <v>125.24</v>
      </c>
      <c r="H28" s="21" t="n">
        <f aca="false">H18-H25</f>
        <v>248.3</v>
      </c>
      <c r="I28" s="21" t="n">
        <f aca="false">I18-I25</f>
        <v>423.68</v>
      </c>
      <c r="J28" s="21" t="n">
        <f aca="false">J18-J25</f>
        <v>1084.16</v>
      </c>
      <c r="K28" s="21" t="n">
        <f aca="false">K18-K25</f>
        <v>1290.3</v>
      </c>
      <c r="L28" s="21" t="n">
        <f aca="false">L18-L25</f>
        <v>1498.4</v>
      </c>
      <c r="M28" s="21" t="n">
        <f aca="false">M18-M25</f>
        <v>1721.2</v>
      </c>
    </row>
    <row r="29" customFormat="false" ht="15" hidden="false" customHeight="true" outlineLevel="0" collapsed="false">
      <c r="A29" s="1" t="s">
        <v>93</v>
      </c>
      <c r="B29" s="21" t="n">
        <f aca="false">-Assumptions!B11+B28</f>
        <v>-5956.24</v>
      </c>
      <c r="C29" s="21" t="n">
        <f aca="false">B29+C28</f>
        <v>-6200.96</v>
      </c>
      <c r="D29" s="21" t="n">
        <f aca="false">C29+D28</f>
        <v>-6403.36</v>
      </c>
      <c r="E29" s="21" t="n">
        <f aca="false">D29+E28</f>
        <v>-6505.62</v>
      </c>
      <c r="F29" s="21" t="n">
        <f aca="false">E29+F28</f>
        <v>-6508.34</v>
      </c>
      <c r="G29" s="21" t="n">
        <f aca="false">F29+G28</f>
        <v>-6383.1</v>
      </c>
      <c r="H29" s="21" t="n">
        <f aca="false">G29+H28</f>
        <v>-6134.8</v>
      </c>
      <c r="I29" s="21" t="n">
        <f aca="false">H29+I28</f>
        <v>-5711.12</v>
      </c>
      <c r="J29" s="21" t="n">
        <f aca="false">I29+J28</f>
        <v>-4626.96</v>
      </c>
      <c r="K29" s="21" t="n">
        <f aca="false">J29+K28</f>
        <v>-3336.66</v>
      </c>
      <c r="L29" s="21" t="n">
        <f aca="false">K29+L28</f>
        <v>-1838.26</v>
      </c>
      <c r="M29" s="21" t="n">
        <f aca="false">L29+M28</f>
        <v>-117.06</v>
      </c>
    </row>
    <row r="30" customFormat="false" ht="15" hidden="false" customHeight="false" outlineLevel="0" collapsed="false"/>
    <row r="31" customFormat="false" ht="15" hidden="false" customHeight="true" outlineLevel="0" collapsed="false">
      <c r="A31" s="22" t="s">
        <v>94</v>
      </c>
      <c r="B31" s="23" t="n">
        <f aca="false">IF(B14=0,0,(B14-B22)/B14)</f>
        <v>0</v>
      </c>
      <c r="C31" s="23" t="n">
        <f aca="false">IF(C14=0,0,(C14-C22)/C14)</f>
        <v>0.5</v>
      </c>
      <c r="D31" s="23" t="n">
        <f aca="false">IF(D14=0,0,(D14-D22)/D14)</f>
        <v>0.5</v>
      </c>
      <c r="E31" s="23" t="n">
        <f aca="false">IF(E14=0,0,(E14-E22)/E14)</f>
        <v>0.5</v>
      </c>
      <c r="F31" s="23" t="n">
        <f aca="false">IF(F14=0,0,(F14-F22)/F14)</f>
        <v>0.5</v>
      </c>
      <c r="G31" s="23" t="n">
        <f aca="false">IF(G14=0,0,(G14-G22)/G14)</f>
        <v>0.5</v>
      </c>
      <c r="H31" s="23" t="n">
        <f aca="false">IF(H14=0,0,(H14-H22)/H14)</f>
        <v>0.5</v>
      </c>
      <c r="I31" s="23" t="n">
        <f aca="false">IF(I14=0,0,(I14-I22)/I14)</f>
        <v>0.5</v>
      </c>
      <c r="J31" s="23" t="n">
        <f aca="false">IF(J14=0,0,(J14-J22)/J14)</f>
        <v>0.5</v>
      </c>
      <c r="K31" s="23" t="n">
        <f aca="false">IF(K14=0,0,(K14-K22)/K14)</f>
        <v>0.5</v>
      </c>
      <c r="L31" s="23" t="n">
        <f aca="false">IF(L14=0,0,(L14-L22)/L14)</f>
        <v>0.5</v>
      </c>
      <c r="M31" s="23" t="n">
        <f aca="false">IF(M14=0,0,(M14-M22)/M14)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8"/>
  </cols>
  <sheetData>
    <row r="1" customFormat="false" ht="15" hidden="false" customHeight="true" outlineLevel="0" collapsed="false">
      <c r="A1" s="2"/>
      <c r="B1" s="2" t="s">
        <v>95</v>
      </c>
      <c r="C1" s="2" t="s">
        <v>96</v>
      </c>
      <c r="D1" s="2" t="s">
        <v>97</v>
      </c>
      <c r="E1" s="2" t="s">
        <v>98</v>
      </c>
    </row>
    <row r="2" customFormat="false" ht="15" hidden="false" customHeight="false" outlineLevel="0" collapsed="false"/>
    <row r="3" customFormat="false" ht="15" hidden="false" customHeight="true" outlineLevel="0" collapsed="false">
      <c r="A3" s="3" t="s">
        <v>99</v>
      </c>
      <c r="B3" s="4"/>
      <c r="C3" s="4"/>
      <c r="D3" s="4"/>
      <c r="E3" s="4"/>
    </row>
    <row r="4" customFormat="false" ht="15" hidden="false" customHeight="true" outlineLevel="0" collapsed="false">
      <c r="A4" s="1" t="s">
        <v>100</v>
      </c>
      <c r="B4" s="24" t="n">
        <v>600</v>
      </c>
      <c r="C4" s="24" t="n">
        <v>1400</v>
      </c>
      <c r="D4" s="24" t="n">
        <v>3000</v>
      </c>
      <c r="E4" s="6" t="s">
        <v>101</v>
      </c>
    </row>
    <row r="5" customFormat="false" ht="15" hidden="false" customHeight="true" outlineLevel="0" collapsed="false">
      <c r="A5" s="1" t="s">
        <v>102</v>
      </c>
      <c r="B5" s="24" t="n">
        <v>80</v>
      </c>
      <c r="C5" s="24" t="n">
        <v>340</v>
      </c>
      <c r="D5" s="24" t="n">
        <v>800</v>
      </c>
    </row>
    <row r="6" customFormat="false" ht="15" hidden="false" customHeight="true" outlineLevel="0" collapsed="false">
      <c r="A6" s="1" t="s">
        <v>103</v>
      </c>
      <c r="B6" s="16" t="n">
        <v>0.03</v>
      </c>
      <c r="C6" s="16" t="n">
        <v>0.05</v>
      </c>
      <c r="D6" s="16" t="n">
        <v>0.1</v>
      </c>
    </row>
    <row r="7" customFormat="false" ht="15" hidden="false" customHeight="true" outlineLevel="0" collapsed="false">
      <c r="A7" s="1" t="s">
        <v>104</v>
      </c>
      <c r="B7" s="16" t="n">
        <v>0.04</v>
      </c>
      <c r="C7" s="16" t="n">
        <v>0.08</v>
      </c>
      <c r="D7" s="16" t="n">
        <v>0.15</v>
      </c>
    </row>
    <row r="8" customFormat="false" ht="15" hidden="false" customHeight="true" outlineLevel="0" collapsed="false">
      <c r="A8" s="1" t="s">
        <v>105</v>
      </c>
      <c r="B8" s="24" t="n">
        <v>500</v>
      </c>
      <c r="C8" s="24" t="n">
        <v>2000</v>
      </c>
      <c r="D8" s="24" t="n">
        <v>5000</v>
      </c>
    </row>
    <row r="9" customFormat="false" ht="15" hidden="false" customHeight="false" outlineLevel="0" collapsed="false"/>
    <row r="10" customFormat="false" ht="15" hidden="false" customHeight="true" outlineLevel="0" collapsed="false">
      <c r="A10" s="3" t="s">
        <v>106</v>
      </c>
      <c r="B10" s="4"/>
      <c r="C10" s="4"/>
      <c r="D10" s="4"/>
      <c r="E10" s="4"/>
    </row>
    <row r="11" customFormat="false" ht="15" hidden="false" customHeight="true" outlineLevel="0" collapsed="false">
      <c r="A11" s="1" t="s">
        <v>107</v>
      </c>
      <c r="B11" s="17" t="n">
        <f aca="false">ROUND(B4*B6,0)</f>
        <v>18</v>
      </c>
      <c r="C11" s="17" t="n">
        <f aca="false">ROUND(C4*C6,0)</f>
        <v>70</v>
      </c>
      <c r="D11" s="17" t="n">
        <f aca="false">ROUND(D4*D6,0)</f>
        <v>300</v>
      </c>
    </row>
    <row r="12" customFormat="false" ht="15" hidden="false" customHeight="true" outlineLevel="0" collapsed="false">
      <c r="A12" s="1" t="s">
        <v>76</v>
      </c>
      <c r="B12" s="17" t="n">
        <f aca="false">ROUND(B5*B7,0)</f>
        <v>3</v>
      </c>
      <c r="C12" s="17" t="n">
        <f aca="false">ROUND(C5*C7,0)</f>
        <v>27</v>
      </c>
      <c r="D12" s="17" t="n">
        <f aca="false">ROUND(D5*D7,0)</f>
        <v>120</v>
      </c>
    </row>
    <row r="13" customFormat="false" ht="15" hidden="false" customHeight="true" outlineLevel="0" collapsed="false">
      <c r="A13" s="1" t="s">
        <v>108</v>
      </c>
      <c r="B13" s="18" t="n">
        <f aca="false">B11*Assumptions!B34</f>
        <v>126</v>
      </c>
      <c r="C13" s="18" t="n">
        <f aca="false">C11*Assumptions!B34</f>
        <v>490</v>
      </c>
      <c r="D13" s="18" t="n">
        <f aca="false">D11*Assumptions!B34</f>
        <v>2100</v>
      </c>
    </row>
    <row r="14" customFormat="false" ht="15" hidden="false" customHeight="true" outlineLevel="0" collapsed="false">
      <c r="A14" s="1" t="s">
        <v>109</v>
      </c>
      <c r="B14" s="18" t="n">
        <f aca="false">B12*B8*Assumptions!B27</f>
        <v>45</v>
      </c>
      <c r="C14" s="18" t="n">
        <f aca="false">C12*C8*Assumptions!B27</f>
        <v>1620</v>
      </c>
      <c r="D14" s="18" t="n">
        <f aca="false">D12*D8*Assumptions!B27</f>
        <v>18000</v>
      </c>
    </row>
    <row r="15" customFormat="false" ht="15" hidden="false" customHeight="true" outlineLevel="0" collapsed="false">
      <c r="A15" s="1" t="s">
        <v>110</v>
      </c>
      <c r="B15" s="5" t="n">
        <v>50</v>
      </c>
      <c r="C15" s="5" t="n">
        <v>350</v>
      </c>
      <c r="D15" s="5" t="n">
        <v>1000</v>
      </c>
    </row>
    <row r="16" customFormat="false" ht="15" hidden="false" customHeight="true" outlineLevel="0" collapsed="false">
      <c r="A16" s="8" t="s">
        <v>111</v>
      </c>
      <c r="B16" s="19" t="n">
        <f aca="false">SUM(B13:B15)</f>
        <v>221</v>
      </c>
      <c r="C16" s="19" t="n">
        <f aca="false">SUM(C13:C15)</f>
        <v>2460</v>
      </c>
      <c r="D16" s="19" t="n">
        <f aca="false">SUM(D13:D15)</f>
        <v>21100</v>
      </c>
    </row>
    <row r="17" customFormat="false" ht="15" hidden="false" customHeight="false" outlineLevel="0" collapsed="false"/>
    <row r="18" customFormat="false" ht="15" hidden="false" customHeight="true" outlineLevel="0" collapsed="false">
      <c r="A18" s="3" t="s">
        <v>112</v>
      </c>
      <c r="B18" s="4"/>
      <c r="C18" s="4"/>
      <c r="D18" s="4"/>
      <c r="E18" s="4"/>
    </row>
    <row r="19" customFormat="false" ht="15" hidden="false" customHeight="true" outlineLevel="0" collapsed="false">
      <c r="A19" s="1" t="s">
        <v>113</v>
      </c>
      <c r="B19" s="18" t="n">
        <f aca="false">Assumptions!B22</f>
        <v>279</v>
      </c>
      <c r="C19" s="18" t="n">
        <f aca="false">Assumptions!B22</f>
        <v>279</v>
      </c>
      <c r="D19" s="18" t="n">
        <f aca="false">Assumptions!B22</f>
        <v>279</v>
      </c>
    </row>
    <row r="20" customFormat="false" ht="15" hidden="false" customHeight="true" outlineLevel="0" collapsed="false">
      <c r="A20" s="1" t="s">
        <v>114</v>
      </c>
      <c r="B20" s="18" t="n">
        <f aca="false">B12*B8*Assumptions!B25+100</f>
        <v>122.5</v>
      </c>
      <c r="C20" s="18" t="n">
        <f aca="false">C12*C8*Assumptions!B25+100</f>
        <v>910</v>
      </c>
      <c r="D20" s="18" t="n">
        <f aca="false">D12*D8*Assumptions!B25+100</f>
        <v>9100</v>
      </c>
    </row>
    <row r="21" customFormat="false" ht="15" hidden="false" customHeight="true" outlineLevel="0" collapsed="false">
      <c r="A21" s="8" t="s">
        <v>115</v>
      </c>
      <c r="B21" s="20" t="n">
        <f aca="false">B19+B20</f>
        <v>401.5</v>
      </c>
      <c r="C21" s="20" t="n">
        <f aca="false">C19+C20</f>
        <v>1189</v>
      </c>
      <c r="D21" s="20" t="n">
        <f aca="false">D19+D20</f>
        <v>9379</v>
      </c>
    </row>
    <row r="22" customFormat="false" ht="15" hidden="false" customHeight="false" outlineLevel="0" collapsed="false"/>
    <row r="23" customFormat="false" ht="15" hidden="false" customHeight="true" outlineLevel="0" collapsed="false">
      <c r="A23" s="3" t="s">
        <v>116</v>
      </c>
      <c r="B23" s="4"/>
      <c r="C23" s="4"/>
      <c r="D23" s="4"/>
      <c r="E23" s="4"/>
    </row>
    <row r="24" customFormat="false" ht="15" hidden="false" customHeight="true" outlineLevel="0" collapsed="false">
      <c r="A24" s="1" t="s">
        <v>117</v>
      </c>
      <c r="B24" s="21" t="n">
        <f aca="false">B16-B21</f>
        <v>-180.5</v>
      </c>
      <c r="C24" s="21" t="n">
        <f aca="false">C16-C21</f>
        <v>1271</v>
      </c>
      <c r="D24" s="21" t="n">
        <f aca="false">D16-D21</f>
        <v>11721</v>
      </c>
    </row>
    <row r="25" customFormat="false" ht="15" hidden="false" customHeight="true" outlineLevel="0" collapsed="false">
      <c r="A25" s="1" t="s">
        <v>118</v>
      </c>
      <c r="B25" s="9" t="n">
        <f aca="false">B16*12</f>
        <v>2652</v>
      </c>
      <c r="C25" s="9" t="n">
        <f aca="false">C16*12</f>
        <v>29520</v>
      </c>
      <c r="D25" s="9" t="n">
        <f aca="false">D16*12</f>
        <v>253200</v>
      </c>
    </row>
    <row r="26" customFormat="false" ht="15" hidden="false" customHeight="true" outlineLevel="0" collapsed="false">
      <c r="A26" s="1" t="s">
        <v>119</v>
      </c>
      <c r="B26" s="17" t="n">
        <f aca="false">ROUND(Assumptions!B22/Assumptions!B34,0)</f>
        <v>40</v>
      </c>
      <c r="C26" s="6" t="s">
        <v>120</v>
      </c>
    </row>
    <row r="27" customFormat="false" ht="15" hidden="false" customHeight="false" outlineLevel="0" collapsed="false"/>
    <row r="28" customFormat="false" ht="15" hidden="false" customHeight="true" outlineLevel="0" collapsed="false">
      <c r="A28" s="1" t="s">
        <v>121</v>
      </c>
      <c r="B28" s="25" t="n">
        <f aca="false">Assumptions!B11</f>
        <v>5674</v>
      </c>
    </row>
    <row r="29" customFormat="false" ht="15" hidden="false" customHeight="true" outlineLevel="0" collapsed="false">
      <c r="A29" s="1" t="s">
        <v>122</v>
      </c>
      <c r="B29" s="26" t="n">
        <f aca="false">Assumptions!B11+6*Assumptions!B22</f>
        <v>7348</v>
      </c>
      <c r="C29" s="6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8"/>
    <col collapsed="false" customWidth="true" hidden="false" outlineLevel="0" max="3" min="3" style="1" width="50"/>
  </cols>
  <sheetData>
    <row r="1" customFormat="false" ht="15" hidden="false" customHeight="true" outlineLevel="0" collapsed="false">
      <c r="A1" s="2" t="s">
        <v>124</v>
      </c>
      <c r="B1" s="2" t="s">
        <v>1</v>
      </c>
      <c r="C1" s="2" t="s">
        <v>125</v>
      </c>
    </row>
    <row r="2" customFormat="false" ht="15" hidden="false" customHeight="false" outlineLevel="0" collapsed="false"/>
    <row r="3" customFormat="false" ht="15" hidden="false" customHeight="true" outlineLevel="0" collapsed="false">
      <c r="A3" s="3" t="s">
        <v>126</v>
      </c>
      <c r="B3" s="4"/>
      <c r="C3" s="4"/>
    </row>
    <row r="4" customFormat="false" ht="15" hidden="false" customHeight="true" outlineLevel="0" collapsed="false">
      <c r="A4" s="1" t="s">
        <v>127</v>
      </c>
      <c r="B4" s="27" t="n">
        <f aca="false">Assumptions!B22</f>
        <v>279</v>
      </c>
    </row>
    <row r="5" customFormat="false" ht="15" hidden="false" customHeight="true" outlineLevel="0" collapsed="false">
      <c r="A5" s="1" t="s">
        <v>128</v>
      </c>
      <c r="B5" s="28" t="n">
        <f aca="false">Assumptions!B34*(1-0.02)</f>
        <v>6.86</v>
      </c>
    </row>
    <row r="6" customFormat="false" ht="17.25" hidden="false" customHeight="true" outlineLevel="0" collapsed="false">
      <c r="A6" s="1" t="s">
        <v>129</v>
      </c>
      <c r="B6" s="29" t="n">
        <f aca="false">ROUNDUP(B4/B5,0)</f>
        <v>41</v>
      </c>
      <c r="C6" s="6" t="s">
        <v>130</v>
      </c>
    </row>
    <row r="7" customFormat="false" ht="17.25" hidden="false" customHeight="true" outlineLevel="0" collapsed="false">
      <c r="A7" s="1" t="s">
        <v>131</v>
      </c>
      <c r="B7" s="30" t="n">
        <f aca="false">ROUNDUP(B6/Assumptions!B32,0)</f>
        <v>820</v>
      </c>
    </row>
    <row r="8" customFormat="false" ht="15" hidden="false" customHeight="false" outlineLevel="0" collapsed="false"/>
    <row r="9" customFormat="false" ht="15" hidden="false" customHeight="true" outlineLevel="0" collapsed="false">
      <c r="A9" s="3" t="s">
        <v>132</v>
      </c>
      <c r="B9" s="4"/>
      <c r="C9" s="4"/>
    </row>
    <row r="10" customFormat="false" ht="15" hidden="false" customHeight="true" outlineLevel="0" collapsed="false">
      <c r="A10" s="1" t="s">
        <v>133</v>
      </c>
      <c r="B10" s="27" t="n">
        <f aca="false">5*Assumptions!B35*Assumptions!B28</f>
        <v>150</v>
      </c>
    </row>
    <row r="11" customFormat="false" ht="15" hidden="false" customHeight="true" outlineLevel="0" collapsed="false">
      <c r="A11" s="1" t="s">
        <v>134</v>
      </c>
      <c r="B11" s="27" t="n">
        <f aca="false">MAX(B4-B10,0)</f>
        <v>129</v>
      </c>
    </row>
    <row r="12" customFormat="false" ht="17.25" hidden="false" customHeight="true" outlineLevel="0" collapsed="false">
      <c r="A12" s="1" t="s">
        <v>135</v>
      </c>
      <c r="B12" s="31" t="n">
        <f aca="false">IF(B11=0,0,ROUNDUP(B11/B5,0))</f>
        <v>19</v>
      </c>
    </row>
    <row r="13" customFormat="false" ht="15" hidden="false" customHeight="false" outlineLevel="0" collapsed="false"/>
    <row r="14" customFormat="false" ht="15" hidden="false" customHeight="true" outlineLevel="0" collapsed="false">
      <c r="A14" s="3" t="s">
        <v>136</v>
      </c>
      <c r="B14" s="4"/>
      <c r="C14" s="4"/>
    </row>
    <row r="15" customFormat="false" ht="15" hidden="false" customHeight="true" outlineLevel="0" collapsed="false">
      <c r="A15" s="1" t="s">
        <v>43</v>
      </c>
      <c r="B15" s="32" t="n">
        <f aca="false">Assumptions!B28</f>
        <v>0.015</v>
      </c>
    </row>
    <row r="16" customFormat="false" ht="17.25" hidden="false" customHeight="true" outlineLevel="0" collapsed="false">
      <c r="A16" s="1" t="s">
        <v>137</v>
      </c>
      <c r="B16" s="33" t="n">
        <f aca="false">ROUNDUP(B4/B15,0)</f>
        <v>18600</v>
      </c>
    </row>
    <row r="17" customFormat="false" ht="17.25" hidden="false" customHeight="true" outlineLevel="0" collapsed="false">
      <c r="A17" s="1" t="s">
        <v>138</v>
      </c>
      <c r="B17" s="30" t="n">
        <f aca="false">ROUNDUP(B16/Assumptions!B35,0)</f>
        <v>10</v>
      </c>
    </row>
    <row r="18" customFormat="false" ht="15" hidden="false" customHeight="false" outlineLevel="0" collapsed="false"/>
    <row r="19" customFormat="false" ht="15" hidden="false" customHeight="true" outlineLevel="0" collapsed="false">
      <c r="A19" s="3" t="s">
        <v>139</v>
      </c>
      <c r="B19" s="4"/>
      <c r="C19" s="4"/>
    </row>
    <row r="20" customFormat="false" ht="15" hidden="false" customHeight="true" outlineLevel="0" collapsed="false">
      <c r="A20" s="1" t="s">
        <v>140</v>
      </c>
      <c r="B20" s="27" t="n">
        <f aca="false">Assumptions!B11</f>
        <v>5674</v>
      </c>
    </row>
    <row r="21" customFormat="false" ht="15" hidden="false" customHeight="true" outlineLevel="0" collapsed="false">
      <c r="A21" s="1" t="s">
        <v>141</v>
      </c>
      <c r="B21" s="27" t="n">
        <f aca="false">AVERAGE('12-Month Projection'!H28:M28)</f>
        <v>1044.34</v>
      </c>
    </row>
    <row r="22" customFormat="false" ht="17.25" hidden="false" customHeight="true" outlineLevel="0" collapsed="false">
      <c r="A22" s="1" t="s">
        <v>142</v>
      </c>
      <c r="B22" s="30" t="n">
        <f aca="false">IF(B21&gt;0,ROUNDUP(B20/B21,1),"N/A")</f>
        <v>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2" style="1" width="18"/>
    <col collapsed="false" customWidth="true" hidden="false" outlineLevel="0" max="5" min="5" style="1" width="50"/>
  </cols>
  <sheetData>
    <row r="1" customFormat="false" ht="15" hidden="false" customHeight="true" outlineLevel="0" collapsed="false">
      <c r="A1" s="2" t="s">
        <v>143</v>
      </c>
      <c r="B1" s="2" t="s">
        <v>144</v>
      </c>
      <c r="C1" s="2" t="s">
        <v>145</v>
      </c>
      <c r="D1" s="2" t="s">
        <v>146</v>
      </c>
      <c r="E1" s="2" t="s">
        <v>147</v>
      </c>
    </row>
    <row r="2" customFormat="false" ht="15" hidden="false" customHeight="false" outlineLevel="0" collapsed="false"/>
    <row r="3" customFormat="false" ht="15" hidden="false" customHeight="true" outlineLevel="0" collapsed="false">
      <c r="A3" s="3" t="s">
        <v>148</v>
      </c>
      <c r="B3" s="4"/>
      <c r="C3" s="4"/>
      <c r="D3" s="4"/>
      <c r="E3" s="4"/>
    </row>
    <row r="4" customFormat="false" ht="15" hidden="false" customHeight="true" outlineLevel="0" collapsed="false">
      <c r="A4" s="1" t="s">
        <v>149</v>
      </c>
      <c r="B4" s="24" t="n">
        <v>3400</v>
      </c>
      <c r="D4" s="1" t="s">
        <v>150</v>
      </c>
      <c r="E4" s="6" t="s">
        <v>151</v>
      </c>
    </row>
    <row r="5" customFormat="false" ht="15" hidden="false" customHeight="true" outlineLevel="0" collapsed="false">
      <c r="A5" s="1" t="s">
        <v>152</v>
      </c>
      <c r="B5" s="24" t="n">
        <v>680</v>
      </c>
      <c r="D5" s="1" t="s">
        <v>153</v>
      </c>
      <c r="E5" s="6" t="s">
        <v>154</v>
      </c>
    </row>
    <row r="6" customFormat="false" ht="15" hidden="false" customHeight="true" outlineLevel="0" collapsed="false">
      <c r="A6" s="1" t="s">
        <v>155</v>
      </c>
      <c r="B6" s="24" t="n">
        <v>340</v>
      </c>
      <c r="D6" s="1" t="s">
        <v>156</v>
      </c>
      <c r="E6" s="6" t="s">
        <v>157</v>
      </c>
    </row>
    <row r="7" customFormat="false" ht="15" hidden="false" customHeight="true" outlineLevel="0" collapsed="false">
      <c r="A7" s="1" t="s">
        <v>158</v>
      </c>
      <c r="B7" s="24" t="n">
        <v>272</v>
      </c>
      <c r="D7" s="1" t="s">
        <v>159</v>
      </c>
      <c r="E7" s="6" t="s">
        <v>160</v>
      </c>
    </row>
    <row r="8" customFormat="false" ht="15" hidden="false" customHeight="true" outlineLevel="0" collapsed="false">
      <c r="A8" s="1" t="s">
        <v>161</v>
      </c>
      <c r="B8" s="24" t="n">
        <v>272</v>
      </c>
      <c r="D8" s="1" t="s">
        <v>150</v>
      </c>
      <c r="E8" s="6" t="s">
        <v>162</v>
      </c>
    </row>
    <row r="9" customFormat="false" ht="15" hidden="false" customHeight="true" outlineLevel="0" collapsed="false">
      <c r="A9" s="1" t="s">
        <v>163</v>
      </c>
      <c r="B9" s="24" t="n">
        <v>27</v>
      </c>
      <c r="D9" s="1" t="s">
        <v>164</v>
      </c>
      <c r="E9" s="6" t="s">
        <v>165</v>
      </c>
    </row>
    <row r="10" customFormat="false" ht="15" hidden="false" customHeight="true" outlineLevel="0" collapsed="false">
      <c r="A10" s="1" t="s">
        <v>166</v>
      </c>
      <c r="B10" s="24" t="n">
        <v>20</v>
      </c>
      <c r="D10" s="1" t="s">
        <v>167</v>
      </c>
      <c r="E10" s="6" t="s">
        <v>168</v>
      </c>
    </row>
    <row r="11" customFormat="false" ht="15" hidden="false" customHeight="false" outlineLevel="0" collapsed="false"/>
    <row r="12" customFormat="false" ht="15" hidden="false" customHeight="true" outlineLevel="0" collapsed="false">
      <c r="A12" s="3" t="s">
        <v>169</v>
      </c>
      <c r="B12" s="4"/>
      <c r="C12" s="4"/>
      <c r="D12" s="4"/>
      <c r="E12" s="4"/>
    </row>
    <row r="13" customFormat="false" ht="15" hidden="false" customHeight="true" outlineLevel="0" collapsed="false">
      <c r="A13" s="1" t="s">
        <v>170</v>
      </c>
      <c r="C13" s="24" t="n">
        <v>7000</v>
      </c>
      <c r="D13" s="1" t="s">
        <v>150</v>
      </c>
      <c r="E13" s="6" t="s">
        <v>171</v>
      </c>
    </row>
    <row r="14" customFormat="false" ht="15" hidden="false" customHeight="true" outlineLevel="0" collapsed="false">
      <c r="A14" s="1" t="s">
        <v>172</v>
      </c>
      <c r="C14" s="24" t="n">
        <v>2100</v>
      </c>
      <c r="D14" s="1" t="s">
        <v>173</v>
      </c>
      <c r="E14" s="6" t="s">
        <v>174</v>
      </c>
    </row>
    <row r="15" customFormat="false" ht="15" hidden="false" customHeight="true" outlineLevel="0" collapsed="false">
      <c r="A15" s="1" t="s">
        <v>175</v>
      </c>
      <c r="C15" s="24" t="n">
        <v>1400</v>
      </c>
      <c r="D15" s="1" t="s">
        <v>176</v>
      </c>
      <c r="E15" s="6" t="s">
        <v>177</v>
      </c>
    </row>
    <row r="16" customFormat="false" ht="15" hidden="false" customHeight="true" outlineLevel="0" collapsed="false">
      <c r="A16" s="1" t="s">
        <v>178</v>
      </c>
      <c r="C16" s="24" t="n">
        <v>840</v>
      </c>
      <c r="D16" s="1" t="s">
        <v>179</v>
      </c>
      <c r="E16" s="6" t="s">
        <v>180</v>
      </c>
    </row>
    <row r="17" customFormat="false" ht="15" hidden="false" customHeight="true" outlineLevel="0" collapsed="false">
      <c r="A17" s="1" t="s">
        <v>181</v>
      </c>
      <c r="C17" s="24" t="n">
        <v>420</v>
      </c>
      <c r="D17" s="1" t="s">
        <v>156</v>
      </c>
      <c r="E17" s="6" t="s">
        <v>182</v>
      </c>
    </row>
    <row r="18" customFormat="false" ht="15" hidden="false" customHeight="true" outlineLevel="0" collapsed="false">
      <c r="A18" s="1" t="s">
        <v>183</v>
      </c>
      <c r="C18" s="24" t="n">
        <v>70</v>
      </c>
      <c r="D18" s="1" t="s">
        <v>184</v>
      </c>
      <c r="E18" s="6" t="s">
        <v>185</v>
      </c>
    </row>
    <row r="19" customFormat="false" ht="15" hidden="false" customHeight="true" outlineLevel="0" collapsed="false">
      <c r="A19" s="1" t="s">
        <v>186</v>
      </c>
      <c r="C19" s="24" t="n">
        <v>53</v>
      </c>
      <c r="D19" s="1" t="s">
        <v>167</v>
      </c>
      <c r="E19" s="6" t="s">
        <v>187</v>
      </c>
    </row>
    <row r="20" customFormat="false" ht="15" hidden="false" customHeight="false" outlineLevel="0" collapsed="false"/>
    <row r="21" customFormat="false" ht="15" hidden="false" customHeight="true" outlineLevel="0" collapsed="false">
      <c r="A21" s="3" t="s">
        <v>188</v>
      </c>
      <c r="B21" s="4"/>
      <c r="C21" s="4"/>
      <c r="D21" s="4"/>
      <c r="E21" s="4"/>
    </row>
    <row r="22" customFormat="false" ht="15" hidden="false" customHeight="true" outlineLevel="0" collapsed="false">
      <c r="A22" s="34" t="s">
        <v>189</v>
      </c>
      <c r="B22" s="6" t="s">
        <v>190</v>
      </c>
    </row>
    <row r="23" customFormat="false" ht="15" hidden="false" customHeight="true" outlineLevel="0" collapsed="false">
      <c r="A23" s="35" t="s">
        <v>191</v>
      </c>
      <c r="B23" s="6" t="s">
        <v>192</v>
      </c>
    </row>
    <row r="24" customFormat="false" ht="15" hidden="false" customHeight="true" outlineLevel="0" collapsed="false">
      <c r="A24" s="1" t="s">
        <v>193</v>
      </c>
      <c r="E24" s="6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2026-03-29T11:08:38Z</dcterms:created>
  <dc:creator>openpyxl</dc:creator>
  <dc:description/>
  <dc:language>en-US</dc:language>
  <cp:lastModifiedBy/>
  <dcterms:modified xsi:type="dcterms:W3CDTF">2026-03-29T12:33:37Z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