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Agent Usage Profil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12-Month Projection" sheetId="4" state="visible" r:id="rId4"/>
    <sheet xmlns:r="http://schemas.openxmlformats.org/officeDocument/2006/relationships" name="Break-Even Analysis" sheetId="5" state="visible" r:id="rId5"/>
    <sheet xmlns:r="http://schemas.openxmlformats.org/officeDocument/2006/relationships" name="Scenario Analysis" sheetId="6" state="visible" r:id="rId6"/>
    <sheet xmlns:r="http://schemas.openxmlformats.org/officeDocument/2006/relationships" name="Pricing Comparison" sheetId="7" state="visible" r:id="rId7"/>
    <sheet xmlns:r="http://schemas.openxmlformats.org/officeDocument/2006/relationships" name="Mythos Cost Scen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00"/>
    <numFmt numFmtId="165" formatCode="$#,##0.000"/>
    <numFmt numFmtId="166" formatCode="0.0%"/>
    <numFmt numFmtId="167" formatCode="$#,##0.00"/>
    <numFmt numFmtId="168" formatCode="$#,##0"/>
    <numFmt numFmtId="169" formatCode="#,##0.0"/>
    <numFmt numFmtId="170" formatCode="+0.0%;-0.0%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999999"/>
      <sz val="10"/>
    </font>
    <font>
      <name val="Arial"/>
      <color rgb="00666666"/>
      <sz val="9"/>
    </font>
    <font>
      <name val="Arial"/>
      <b val="1"/>
      <color rgb="001F4E79"/>
      <sz val="11"/>
    </font>
    <font>
      <name val="Arial"/>
      <b val="1"/>
      <color rgb="00000000"/>
      <sz val="10"/>
    </font>
    <font>
      <name val="Arial"/>
      <i val="1"/>
      <color rgb="00666666"/>
      <sz val="8"/>
    </font>
    <font>
      <name val="Arial"/>
      <color rgb="00008000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5" fillId="0" borderId="1" pivotButton="0" quotePrefix="0" xfId="0"/>
    <xf numFmtId="165" fontId="6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9" fillId="0" borderId="0" pivotButton="0" quotePrefix="0" xfId="0"/>
    <xf numFmtId="166" fontId="9" fillId="0" borderId="0" pivotButton="0" quotePrefix="0" xfId="0"/>
    <xf numFmtId="166" fontId="4" fillId="0" borderId="0" pivotButton="0" quotePrefix="0" xfId="0"/>
    <xf numFmtId="0" fontId="10" fillId="0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 wrapText="1"/>
    </xf>
    <xf numFmtId="3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0" fontId="7" fillId="0" borderId="0" pivotButton="0" quotePrefix="0" xfId="0"/>
    <xf numFmtId="0" fontId="5" fillId="0" borderId="0" pivotButton="0" quotePrefix="0" xfId="0"/>
    <xf numFmtId="168" fontId="9" fillId="0" borderId="0" pivotButton="0" quotePrefix="0" xfId="0"/>
    <xf numFmtId="167" fontId="9" fillId="0" borderId="0" pivotButton="0" quotePrefix="0" xfId="0"/>
    <xf numFmtId="3" fontId="5" fillId="0" borderId="0" pivotButton="0" quotePrefix="0" xfId="0"/>
    <xf numFmtId="3" fontId="9" fillId="0" borderId="0" pivotButton="0" quotePrefix="0" xfId="0"/>
    <xf numFmtId="169" fontId="4" fillId="0" borderId="0" pivotButton="0" quotePrefix="0" xfId="0"/>
    <xf numFmtId="168" fontId="4" fillId="0" borderId="0" pivotButton="0" quotePrefix="0" xfId="0"/>
    <xf numFmtId="168" fontId="5" fillId="0" borderId="0" pivotButton="0" quotePrefix="0" xfId="0"/>
    <xf numFmtId="0" fontId="9" fillId="3" borderId="0" pivotButton="0" quotePrefix="0" xfId="0"/>
    <xf numFmtId="168" fontId="9" fillId="3" borderId="0" pivotButton="0" quotePrefix="0" xfId="0"/>
    <xf numFmtId="168" fontId="11" fillId="0" borderId="0" pivotButton="0" quotePrefix="0" xfId="0"/>
    <xf numFmtId="0" fontId="9" fillId="4" borderId="0" pivotButton="0" quotePrefix="0" xfId="0"/>
    <xf numFmtId="168" fontId="9" fillId="4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6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167" fontId="6" fillId="0" borderId="1" pivotButton="0" quotePrefix="0" xfId="0"/>
    <xf numFmtId="167" fontId="5" fillId="0" borderId="1" pivotButton="0" quotePrefix="0" xfId="0"/>
    <xf numFmtId="170" fontId="9" fillId="0" borderId="1" pivotButton="0" quotePrefix="0" xfId="0"/>
    <xf numFmtId="167" fontId="4" fillId="0" borderId="1" pivotButton="0" quotePrefix="0" xfId="0"/>
    <xf numFmtId="167" fontId="9" fillId="0" borderId="1" pivotButton="0" quotePrefix="0" xfId="0"/>
    <xf numFmtId="166" fontId="6" fillId="0" borderId="1" pivotButton="0" quotePrefix="0" xfId="0"/>
    <xf numFmtId="166" fontId="9" fillId="0" borderId="1" pivotButton="0" quotePrefix="0" xfId="0"/>
    <xf numFmtId="170" fontId="4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2" customWidth="1" min="10" max="10"/>
    <col width="24" customWidth="1" min="11" max="11"/>
  </cols>
  <sheetData>
    <row r="1">
      <c r="A1" s="1" t="inlineStr">
        <is>
          <t>SageReasoning V3 — Revised Product Catalog (Half-Competitor Pricing)</t>
        </is>
      </c>
    </row>
    <row r="2">
      <c r="A2" s="2" t="inlineStr">
        <is>
          <t>Prices = half of lowest competitor in each category. R5 (≥2× LLM cost) still satisfied for all products.</t>
        </is>
      </c>
    </row>
    <row r="4">
      <c r="A4" s="3" t="inlineStr">
        <is>
          <t>Skill ID</t>
        </is>
      </c>
      <c r="B4" s="3" t="inlineStr">
        <is>
          <t>Display Name</t>
        </is>
      </c>
      <c r="C4" s="3" t="inlineStr">
        <is>
          <t>Tier</t>
        </is>
      </c>
      <c r="D4" s="3" t="inlineStr">
        <is>
          <t>Category</t>
        </is>
      </c>
      <c r="E4" s="3" t="inlineStr">
        <is>
          <t>New Price</t>
        </is>
      </c>
      <c r="F4" s="3" t="inlineStr">
        <is>
          <t>Old Price</t>
        </is>
      </c>
      <c r="G4" s="3" t="inlineStr">
        <is>
          <t>LLM Cost</t>
        </is>
      </c>
      <c r="H4" s="3" t="inlineStr">
        <is>
          <t>Margin per Call</t>
        </is>
      </c>
      <c r="I4" s="3" t="inlineStr">
        <is>
          <t>Margin %</t>
        </is>
      </c>
      <c r="J4" s="3" t="inlineStr">
        <is>
          <t>Mechanisms</t>
        </is>
      </c>
      <c r="K4" s="3" t="inlineStr">
        <is>
          <t>Pricing Rule</t>
        </is>
      </c>
    </row>
    <row r="5">
      <c r="A5" s="4" t="inlineStr">
        <is>
          <t>sage-reason-quick</t>
        </is>
      </c>
      <c r="B5" s="4" t="inlineStr">
        <is>
          <t>sage-reason (quick)</t>
        </is>
      </c>
      <c r="C5" s="4" t="inlineStr">
        <is>
          <t>Tier 1</t>
        </is>
      </c>
      <c r="D5" s="4" t="inlineStr">
        <is>
          <t>Infrastructure</t>
        </is>
      </c>
      <c r="E5" s="5" t="n">
        <v>0.18</v>
      </c>
      <c r="F5" s="6" t="n">
        <v>0.025</v>
      </c>
      <c r="G5" s="7" t="n">
        <v>0.0125</v>
      </c>
      <c r="H5" s="7">
        <f>E5-G5</f>
        <v/>
      </c>
      <c r="I5" s="8">
        <f>H5/E5</f>
        <v/>
      </c>
      <c r="J5" s="4" t="n">
        <v>3</v>
      </c>
      <c r="K5" s="9" t="inlineStr">
        <is>
          <t>½ × Clearbit ($0.36)</t>
        </is>
      </c>
    </row>
    <row r="6">
      <c r="A6" s="4" t="inlineStr">
        <is>
          <t>sage-reason-standard</t>
        </is>
      </c>
      <c r="B6" s="4" t="inlineStr">
        <is>
          <t>sage-reason (standard)</t>
        </is>
      </c>
      <c r="C6" s="4" t="inlineStr">
        <is>
          <t>Tier 1</t>
        </is>
      </c>
      <c r="D6" s="4" t="inlineStr">
        <is>
          <t>Infrastructure</t>
        </is>
      </c>
      <c r="E6" s="5" t="n">
        <v>0.18</v>
      </c>
      <c r="F6" s="6" t="n">
        <v>0.041</v>
      </c>
      <c r="G6" s="7" t="n">
        <v>0.0205</v>
      </c>
      <c r="H6" s="7">
        <f>E6-G6</f>
        <v/>
      </c>
      <c r="I6" s="8">
        <f>H6/E6</f>
        <v/>
      </c>
      <c r="J6" s="4" t="n">
        <v>5</v>
      </c>
      <c r="K6" s="9" t="inlineStr">
        <is>
          <t>½ × Clearbit ($0.36)</t>
        </is>
      </c>
    </row>
    <row r="7">
      <c r="A7" s="4" t="inlineStr">
        <is>
          <t>sage-reason-deep</t>
        </is>
      </c>
      <c r="B7" s="4" t="inlineStr">
        <is>
          <t>sage-reason (deep)</t>
        </is>
      </c>
      <c r="C7" s="4" t="inlineStr">
        <is>
          <t>Tier 1</t>
        </is>
      </c>
      <c r="D7" s="4" t="inlineStr">
        <is>
          <t>Infrastructure</t>
        </is>
      </c>
      <c r="E7" s="5" t="n">
        <v>0.18</v>
      </c>
      <c r="F7" s="6" t="n">
        <v>0.055</v>
      </c>
      <c r="G7" s="7" t="n">
        <v>0.0275</v>
      </c>
      <c r="H7" s="7">
        <f>E7-G7</f>
        <v/>
      </c>
      <c r="I7" s="8">
        <f>H7/E7</f>
        <v/>
      </c>
      <c r="J7" s="4" t="n">
        <v>6</v>
      </c>
      <c r="K7" s="9" t="inlineStr">
        <is>
          <t>½ × Clearbit ($0.36)</t>
        </is>
      </c>
    </row>
    <row r="8">
      <c r="A8" s="4" t="inlineStr">
        <is>
          <t>sage-score</t>
        </is>
      </c>
      <c r="B8" s="4" t="inlineStr">
        <is>
          <t>sage-score</t>
        </is>
      </c>
      <c r="C8" s="4" t="inlineStr">
        <is>
          <t>Tier 2 Core</t>
        </is>
      </c>
      <c r="D8" s="4" t="inlineStr">
        <is>
          <t>Core Evaluation</t>
        </is>
      </c>
      <c r="E8" s="5" t="n">
        <v>0.18</v>
      </c>
      <c r="F8" s="6" t="n">
        <v>0.033</v>
      </c>
      <c r="G8" s="7" t="n">
        <v>0.0165</v>
      </c>
      <c r="H8" s="7">
        <f>E8-G8</f>
        <v/>
      </c>
      <c r="I8" s="8">
        <f>H8/E8</f>
        <v/>
      </c>
      <c r="J8" s="4" t="n">
        <v>4</v>
      </c>
      <c r="K8" s="9" t="inlineStr">
        <is>
          <t>½ × Clearbit ($0.36)</t>
        </is>
      </c>
    </row>
    <row r="9">
      <c r="A9" s="4" t="inlineStr">
        <is>
          <t>sage-guard</t>
        </is>
      </c>
      <c r="B9" s="4" t="inlineStr">
        <is>
          <t>sage-guard</t>
        </is>
      </c>
      <c r="C9" s="4" t="inlineStr">
        <is>
          <t>Tier 2 Core</t>
        </is>
      </c>
      <c r="D9" s="4" t="inlineStr">
        <is>
          <t>Core Evaluation</t>
        </is>
      </c>
      <c r="E9" s="5" t="n">
        <v>0.0025</v>
      </c>
      <c r="F9" s="6" t="n">
        <v>0.001</v>
      </c>
      <c r="G9" s="7" t="n">
        <v>0.0005</v>
      </c>
      <c r="H9" s="7">
        <f>E9-G9</f>
        <v/>
      </c>
      <c r="I9" s="8">
        <f>H9/E9</f>
        <v/>
      </c>
      <c r="J9" s="4" t="n">
        <v>2</v>
      </c>
      <c r="K9" s="9" t="inlineStr">
        <is>
          <t>½ × Guardrails AI ($0.005)</t>
        </is>
      </c>
    </row>
    <row r="10">
      <c r="A10" s="4" t="inlineStr">
        <is>
          <t>sage-iterate</t>
        </is>
      </c>
      <c r="B10" s="4" t="inlineStr">
        <is>
          <t>sage-iterate (per iter)</t>
        </is>
      </c>
      <c r="C10" s="4" t="inlineStr">
        <is>
          <t>Tier 2 Core</t>
        </is>
      </c>
      <c r="D10" s="4" t="inlineStr">
        <is>
          <t>Core Evaluation</t>
        </is>
      </c>
      <c r="E10" s="5" t="n">
        <v>0.18</v>
      </c>
      <c r="F10" s="6" t="n">
        <v>0.033</v>
      </c>
      <c r="G10" s="7" t="n">
        <v>0.0165</v>
      </c>
      <c r="H10" s="7">
        <f>E10-G10</f>
        <v/>
      </c>
      <c r="I10" s="8">
        <f>H10/E10</f>
        <v/>
      </c>
      <c r="J10" s="4" t="n">
        <v>4</v>
      </c>
      <c r="K10" s="9" t="inlineStr">
        <is>
          <t>½ × Clearbit ($0.36)</t>
        </is>
      </c>
    </row>
    <row r="11">
      <c r="A11" s="4" t="inlineStr">
        <is>
          <t>sage-decide</t>
        </is>
      </c>
      <c r="B11" s="4" t="inlineStr">
        <is>
          <t>sage-decide</t>
        </is>
      </c>
      <c r="C11" s="4" t="inlineStr">
        <is>
          <t>Tier 2 Core</t>
        </is>
      </c>
      <c r="D11" s="4" t="inlineStr">
        <is>
          <t>Core Evaluation</t>
        </is>
      </c>
      <c r="E11" s="5" t="n">
        <v>0.18</v>
      </c>
      <c r="F11" s="6" t="n">
        <v>0.033</v>
      </c>
      <c r="G11" s="7" t="n">
        <v>0.0165</v>
      </c>
      <c r="H11" s="7">
        <f>E11-G11</f>
        <v/>
      </c>
      <c r="I11" s="8">
        <f>H11/E11</f>
        <v/>
      </c>
      <c r="J11" s="4" t="n">
        <v>3</v>
      </c>
      <c r="K11" s="9" t="inlineStr">
        <is>
          <t>½ × Clearbit ($0.36)</t>
        </is>
      </c>
    </row>
    <row r="12">
      <c r="A12" s="4" t="inlineStr">
        <is>
          <t>sage-audit</t>
        </is>
      </c>
      <c r="B12" s="4" t="inlineStr">
        <is>
          <t>sage-audit</t>
        </is>
      </c>
      <c r="C12" s="4" t="inlineStr">
        <is>
          <t>Tier 2 Core</t>
        </is>
      </c>
      <c r="D12" s="4" t="inlineStr">
        <is>
          <t>Core Evaluation</t>
        </is>
      </c>
      <c r="E12" s="5" t="n">
        <v>0.18</v>
      </c>
      <c r="F12" s="6" t="n">
        <v>0.033</v>
      </c>
      <c r="G12" s="7" t="n">
        <v>0.0165</v>
      </c>
      <c r="H12" s="7">
        <f>E12-G12</f>
        <v/>
      </c>
      <c r="I12" s="8">
        <f>H12/E12</f>
        <v/>
      </c>
      <c r="J12" s="4" t="n">
        <v>4</v>
      </c>
      <c r="K12" s="9" t="inlineStr">
        <is>
          <t>½ × Clearbit ($0.36)</t>
        </is>
      </c>
    </row>
    <row r="13">
      <c r="A13" s="4" t="inlineStr">
        <is>
          <t>sage-converse</t>
        </is>
      </c>
      <c r="B13" s="4" t="inlineStr">
        <is>
          <t>sage-converse</t>
        </is>
      </c>
      <c r="C13" s="4" t="inlineStr">
        <is>
          <t>Tier 2 Core</t>
        </is>
      </c>
      <c r="D13" s="4" t="inlineStr">
        <is>
          <t>Core Evaluation</t>
        </is>
      </c>
      <c r="E13" s="5" t="n">
        <v>0.18</v>
      </c>
      <c r="F13" s="6" t="n">
        <v>0.033</v>
      </c>
      <c r="G13" s="7" t="n">
        <v>0.0165</v>
      </c>
      <c r="H13" s="7">
        <f>E13-G13</f>
        <v/>
      </c>
      <c r="I13" s="8">
        <f>H13/E13</f>
        <v/>
      </c>
      <c r="J13" s="4" t="n">
        <v>3</v>
      </c>
      <c r="K13" s="9" t="inlineStr">
        <is>
          <t>½ × Clearbit ($0.36)</t>
        </is>
      </c>
    </row>
    <row r="14">
      <c r="A14" s="4" t="inlineStr">
        <is>
          <t>sage-scenario</t>
        </is>
      </c>
      <c r="B14" s="4" t="inlineStr">
        <is>
          <t>sage-scenario</t>
        </is>
      </c>
      <c r="C14" s="4" t="inlineStr">
        <is>
          <t>Tier 2 Core</t>
        </is>
      </c>
      <c r="D14" s="4" t="inlineStr">
        <is>
          <t>Core Evaluation</t>
        </is>
      </c>
      <c r="E14" s="5" t="n">
        <v>0.18</v>
      </c>
      <c r="F14" s="6" t="n">
        <v>0.066</v>
      </c>
      <c r="G14" s="7" t="n">
        <v>0.033</v>
      </c>
      <c r="H14" s="7">
        <f>E14-G14</f>
        <v/>
      </c>
      <c r="I14" s="8">
        <f>H14/E14</f>
        <v/>
      </c>
      <c r="J14" s="4" t="n">
        <v>3</v>
      </c>
      <c r="K14" s="9" t="inlineStr">
        <is>
          <t>½ × Clearbit ($0.36)</t>
        </is>
      </c>
    </row>
    <row r="15">
      <c r="A15" s="4" t="inlineStr">
        <is>
          <t>sage-reflect</t>
        </is>
      </c>
      <c r="B15" s="4" t="inlineStr">
        <is>
          <t>sage-reflect</t>
        </is>
      </c>
      <c r="C15" s="4" t="inlineStr">
        <is>
          <t>Tier 2 Core</t>
        </is>
      </c>
      <c r="D15" s="4" t="inlineStr">
        <is>
          <t>Core Evaluation</t>
        </is>
      </c>
      <c r="E15" s="5" t="n">
        <v>0.18</v>
      </c>
      <c r="F15" s="6" t="n">
        <v>0.033</v>
      </c>
      <c r="G15" s="7" t="n">
        <v>0.0165</v>
      </c>
      <c r="H15" s="7">
        <f>E15-G15</f>
        <v/>
      </c>
      <c r="I15" s="8">
        <f>H15/E15</f>
        <v/>
      </c>
      <c r="J15" s="4" t="n">
        <v>2</v>
      </c>
      <c r="K15" s="9" t="inlineStr">
        <is>
          <t>½ × Clearbit ($0.36)</t>
        </is>
      </c>
    </row>
    <row r="16">
      <c r="A16" s="4" t="inlineStr">
        <is>
          <t>sage-context</t>
        </is>
      </c>
      <c r="B16" s="4" t="inlineStr">
        <is>
          <t>sage-context</t>
        </is>
      </c>
      <c r="C16" s="4" t="inlineStr">
        <is>
          <t>Tier 2 Core</t>
        </is>
      </c>
      <c r="D16" s="4" t="inlineStr">
        <is>
          <t>Free Endpoint</t>
        </is>
      </c>
      <c r="E16" s="5" t="n">
        <v>0</v>
      </c>
      <c r="F16" s="6" t="n">
        <v>0</v>
      </c>
      <c r="G16" s="7" t="n">
        <v>0</v>
      </c>
      <c r="H16" s="7" t="n">
        <v>0</v>
      </c>
      <c r="I16" s="8" t="n">
        <v>0</v>
      </c>
      <c r="J16" s="4" t="n">
        <v>0</v>
      </c>
      <c r="K16" s="9" t="inlineStr">
        <is>
          <t>Free (no AI call)</t>
        </is>
      </c>
    </row>
    <row r="17">
      <c r="A17" s="4" t="inlineStr">
        <is>
          <t>sage-diagnose</t>
        </is>
      </c>
      <c r="B17" s="4" t="inlineStr">
        <is>
          <t>sage-diagnose</t>
        </is>
      </c>
      <c r="C17" s="4" t="inlineStr">
        <is>
          <t>Tier 2 Core</t>
        </is>
      </c>
      <c r="D17" s="4" t="inlineStr">
        <is>
          <t>Assessment</t>
        </is>
      </c>
      <c r="E17" s="5" t="n">
        <v>0.5</v>
      </c>
      <c r="F17" s="6" t="n">
        <v>0.033</v>
      </c>
      <c r="G17" s="7" t="n">
        <v>0.0165</v>
      </c>
      <c r="H17" s="7">
        <f>E17-G17</f>
        <v/>
      </c>
      <c r="I17" s="8">
        <f>H17/E17</f>
        <v/>
      </c>
      <c r="J17" s="4" t="n">
        <v>3</v>
      </c>
      <c r="K17" s="9" t="inlineStr">
        <is>
          <t>½ × Crystal Knows (est. $1)</t>
        </is>
      </c>
    </row>
    <row r="18">
      <c r="A18" s="4" t="inlineStr">
        <is>
          <t>sage-profile</t>
        </is>
      </c>
      <c r="B18" s="4" t="inlineStr">
        <is>
          <t>sage-profile</t>
        </is>
      </c>
      <c r="C18" s="4" t="inlineStr">
        <is>
          <t>Tier 2 Core</t>
        </is>
      </c>
      <c r="D18" s="4" t="inlineStr">
        <is>
          <t>Assessment</t>
        </is>
      </c>
      <c r="E18" s="5" t="n">
        <v>0.5</v>
      </c>
      <c r="F18" s="6" t="n">
        <v>0.033</v>
      </c>
      <c r="G18" s="7" t="n">
        <v>0.0165</v>
      </c>
      <c r="H18" s="7">
        <f>E18-G18</f>
        <v/>
      </c>
      <c r="I18" s="8">
        <f>H18/E18</f>
        <v/>
      </c>
      <c r="J18" s="4" t="n">
        <v>4</v>
      </c>
      <c r="K18" s="9" t="inlineStr">
        <is>
          <t>½ × Crystal Knows (est. $1)</t>
        </is>
      </c>
    </row>
    <row r="19">
      <c r="A19" s="4" t="inlineStr">
        <is>
          <t>sage-premortem</t>
        </is>
      </c>
      <c r="B19" s="4" t="inlineStr">
        <is>
          <t>sage-premortem</t>
        </is>
      </c>
      <c r="C19" s="4" t="inlineStr">
        <is>
          <t>Tier 2 Marketplace</t>
        </is>
      </c>
      <c r="D19" s="4" t="inlineStr">
        <is>
          <t>Business Decision</t>
        </is>
      </c>
      <c r="E19" s="5" t="n">
        <v>0.18</v>
      </c>
      <c r="F19" s="6" t="n">
        <v>0.041</v>
      </c>
      <c r="G19" s="7" t="n">
        <v>0.0205</v>
      </c>
      <c r="H19" s="7">
        <f>E19-G19</f>
        <v/>
      </c>
      <c r="I19" s="8">
        <f>H19/E19</f>
        <v/>
      </c>
      <c r="J19" s="4" t="n">
        <v>5</v>
      </c>
      <c r="K19" s="9" t="inlineStr">
        <is>
          <t>½ × Clearbit ($0.36)</t>
        </is>
      </c>
    </row>
    <row r="20">
      <c r="A20" s="4" t="inlineStr">
        <is>
          <t>sage-negotiate</t>
        </is>
      </c>
      <c r="B20" s="4" t="inlineStr">
        <is>
          <t>sage-negotiate</t>
        </is>
      </c>
      <c r="C20" s="4" t="inlineStr">
        <is>
          <t>Tier 2 Marketplace</t>
        </is>
      </c>
      <c r="D20" s="4" t="inlineStr">
        <is>
          <t>Business Decision</t>
        </is>
      </c>
      <c r="E20" s="5" t="n">
        <v>0.18</v>
      </c>
      <c r="F20" s="6" t="n">
        <v>0.041</v>
      </c>
      <c r="G20" s="7" t="n">
        <v>0.0205</v>
      </c>
      <c r="H20" s="7">
        <f>E20-G20</f>
        <v/>
      </c>
      <c r="I20" s="8">
        <f>H20/E20</f>
        <v/>
      </c>
      <c r="J20" s="4" t="n">
        <v>5</v>
      </c>
      <c r="K20" s="9" t="inlineStr">
        <is>
          <t>½ × Clearbit ($0.36)</t>
        </is>
      </c>
    </row>
    <row r="21">
      <c r="A21" s="4" t="inlineStr">
        <is>
          <t>sage-invest</t>
        </is>
      </c>
      <c r="B21" s="4" t="inlineStr">
        <is>
          <t>sage-invest</t>
        </is>
      </c>
      <c r="C21" s="4" t="inlineStr">
        <is>
          <t>Tier 2 Marketplace</t>
        </is>
      </c>
      <c r="D21" s="4" t="inlineStr">
        <is>
          <t>Business Decision</t>
        </is>
      </c>
      <c r="E21" s="5" t="n">
        <v>0.18</v>
      </c>
      <c r="F21" s="6" t="n">
        <v>0.041</v>
      </c>
      <c r="G21" s="7" t="n">
        <v>0.0205</v>
      </c>
      <c r="H21" s="7">
        <f>E21-G21</f>
        <v/>
      </c>
      <c r="I21" s="8">
        <f>H21/E21</f>
        <v/>
      </c>
      <c r="J21" s="4" t="n">
        <v>5</v>
      </c>
      <c r="K21" s="9" t="inlineStr">
        <is>
          <t>½ × Clearbit ($0.36)</t>
        </is>
      </c>
    </row>
    <row r="22">
      <c r="A22" s="4" t="inlineStr">
        <is>
          <t>sage-pivot</t>
        </is>
      </c>
      <c r="B22" s="4" t="inlineStr">
        <is>
          <t>sage-pivot</t>
        </is>
      </c>
      <c r="C22" s="4" t="inlineStr">
        <is>
          <t>Tier 2 Marketplace</t>
        </is>
      </c>
      <c r="D22" s="4" t="inlineStr">
        <is>
          <t>Business Decision</t>
        </is>
      </c>
      <c r="E22" s="5" t="n">
        <v>0.18</v>
      </c>
      <c r="F22" s="6" t="n">
        <v>0.041</v>
      </c>
      <c r="G22" s="7" t="n">
        <v>0.0205</v>
      </c>
      <c r="H22" s="7">
        <f>E22-G22</f>
        <v/>
      </c>
      <c r="I22" s="8">
        <f>H22/E22</f>
        <v/>
      </c>
      <c r="J22" s="4" t="n">
        <v>5</v>
      </c>
      <c r="K22" s="9" t="inlineStr">
        <is>
          <t>½ × Clearbit ($0.36)</t>
        </is>
      </c>
    </row>
    <row r="23">
      <c r="A23" s="4" t="inlineStr">
        <is>
          <t>sage-retro</t>
        </is>
      </c>
      <c r="B23" s="4" t="inlineStr">
        <is>
          <t>sage-retro</t>
        </is>
      </c>
      <c r="C23" s="4" t="inlineStr">
        <is>
          <t>Tier 2 Marketplace</t>
        </is>
      </c>
      <c r="D23" s="4" t="inlineStr">
        <is>
          <t>Business Decision</t>
        </is>
      </c>
      <c r="E23" s="5" t="n">
        <v>0.18</v>
      </c>
      <c r="F23" s="6" t="n">
        <v>0.041</v>
      </c>
      <c r="G23" s="7" t="n">
        <v>0.0205</v>
      </c>
      <c r="H23" s="7">
        <f>E23-G23</f>
        <v/>
      </c>
      <c r="I23" s="8">
        <f>H23/E23</f>
        <v/>
      </c>
      <c r="J23" s="4" t="n">
        <v>5</v>
      </c>
      <c r="K23" s="9" t="inlineStr">
        <is>
          <t>½ × Clearbit ($0.36)</t>
        </is>
      </c>
    </row>
    <row r="24">
      <c r="A24" s="4" t="inlineStr">
        <is>
          <t>sage-align</t>
        </is>
      </c>
      <c r="B24" s="4" t="inlineStr">
        <is>
          <t>sage-align</t>
        </is>
      </c>
      <c r="C24" s="4" t="inlineStr">
        <is>
          <t>Tier 2 Marketplace</t>
        </is>
      </c>
      <c r="D24" s="4" t="inlineStr">
        <is>
          <t>Team &amp; Org</t>
        </is>
      </c>
      <c r="E24" s="5" t="n">
        <v>0.18</v>
      </c>
      <c r="F24" s="6" t="n">
        <v>0.041</v>
      </c>
      <c r="G24" s="7" t="n">
        <v>0.0205</v>
      </c>
      <c r="H24" s="7">
        <f>E24-G24</f>
        <v/>
      </c>
      <c r="I24" s="8">
        <f>H24/E24</f>
        <v/>
      </c>
      <c r="J24" s="4" t="n">
        <v>5</v>
      </c>
      <c r="K24" s="9" t="inlineStr">
        <is>
          <t>½ × Clearbit ($0.36)</t>
        </is>
      </c>
    </row>
    <row r="25">
      <c r="A25" s="4" t="inlineStr">
        <is>
          <t>sage-resolve</t>
        </is>
      </c>
      <c r="B25" s="4" t="inlineStr">
        <is>
          <t>sage-resolve</t>
        </is>
      </c>
      <c r="C25" s="4" t="inlineStr">
        <is>
          <t>Tier 2 Marketplace</t>
        </is>
      </c>
      <c r="D25" s="4" t="inlineStr">
        <is>
          <t>Team &amp; Org</t>
        </is>
      </c>
      <c r="E25" s="5" t="n">
        <v>0.18</v>
      </c>
      <c r="F25" s="6" t="n">
        <v>0.041</v>
      </c>
      <c r="G25" s="7" t="n">
        <v>0.0205</v>
      </c>
      <c r="H25" s="7">
        <f>E25-G25</f>
        <v/>
      </c>
      <c r="I25" s="8">
        <f>H25/E25</f>
        <v/>
      </c>
      <c r="J25" s="4" t="n">
        <v>5</v>
      </c>
      <c r="K25" s="9" t="inlineStr">
        <is>
          <t>½ × Clearbit ($0.36)</t>
        </is>
      </c>
    </row>
    <row r="26">
      <c r="A26" s="4" t="inlineStr">
        <is>
          <t>sage-coach</t>
        </is>
      </c>
      <c r="B26" s="4" t="inlineStr">
        <is>
          <t>sage-coach</t>
        </is>
      </c>
      <c r="C26" s="4" t="inlineStr">
        <is>
          <t>Tier 2 Marketplace</t>
        </is>
      </c>
      <c r="D26" s="4" t="inlineStr">
        <is>
          <t>Team &amp; Org</t>
        </is>
      </c>
      <c r="E26" s="5" t="n">
        <v>0.18</v>
      </c>
      <c r="F26" s="6" t="n">
        <v>0.041</v>
      </c>
      <c r="G26" s="7" t="n">
        <v>0.0205</v>
      </c>
      <c r="H26" s="7">
        <f>E26-G26</f>
        <v/>
      </c>
      <c r="I26" s="8">
        <f>H26/E26</f>
        <v/>
      </c>
      <c r="J26" s="4" t="n">
        <v>5</v>
      </c>
      <c r="K26" s="9" t="inlineStr">
        <is>
          <t>½ × Clearbit ($0.36)</t>
        </is>
      </c>
    </row>
    <row r="27">
      <c r="A27" s="4" t="inlineStr">
        <is>
          <t>sage-identity</t>
        </is>
      </c>
      <c r="B27" s="4" t="inlineStr">
        <is>
          <t>sage-identity</t>
        </is>
      </c>
      <c r="C27" s="4" t="inlineStr">
        <is>
          <t>Tier 2 Marketplace</t>
        </is>
      </c>
      <c r="D27" s="4" t="inlineStr">
        <is>
          <t>Deep Analysis</t>
        </is>
      </c>
      <c r="E27" s="5" t="n">
        <v>0.18</v>
      </c>
      <c r="F27" s="6" t="n">
        <v>0.055</v>
      </c>
      <c r="G27" s="7" t="n">
        <v>0.0275</v>
      </c>
      <c r="H27" s="7">
        <f>E27-G27</f>
        <v/>
      </c>
      <c r="I27" s="8">
        <f>H27/E27</f>
        <v/>
      </c>
      <c r="J27" s="4" t="n">
        <v>6</v>
      </c>
      <c r="K27" s="9" t="inlineStr">
        <is>
          <t>½ × Clearbit ($0.36)</t>
        </is>
      </c>
    </row>
    <row r="28">
      <c r="A28" s="4" t="inlineStr">
        <is>
          <t>sage-govern</t>
        </is>
      </c>
      <c r="B28" s="4" t="inlineStr">
        <is>
          <t>sage-govern</t>
        </is>
      </c>
      <c r="C28" s="4" t="inlineStr">
        <is>
          <t>Tier 2 Marketplace</t>
        </is>
      </c>
      <c r="D28" s="4" t="inlineStr">
        <is>
          <t>Deep Analysis</t>
        </is>
      </c>
      <c r="E28" s="5" t="n">
        <v>0.18</v>
      </c>
      <c r="F28" s="6" t="n">
        <v>0.055</v>
      </c>
      <c r="G28" s="7" t="n">
        <v>0.0275</v>
      </c>
      <c r="H28" s="7">
        <f>E28-G28</f>
        <v/>
      </c>
      <c r="I28" s="8">
        <f>H28/E28</f>
        <v/>
      </c>
      <c r="J28" s="4" t="n">
        <v>6</v>
      </c>
      <c r="K28" s="9" t="inlineStr">
        <is>
          <t>½ × Clearbit ($0.36)</t>
        </is>
      </c>
    </row>
    <row r="29">
      <c r="A29" s="4" t="inlineStr">
        <is>
          <t>sage-compliance</t>
        </is>
      </c>
      <c r="B29" s="4" t="inlineStr">
        <is>
          <t>sage-compliance</t>
        </is>
      </c>
      <c r="C29" s="4" t="inlineStr">
        <is>
          <t>Tier 2 Marketplace</t>
        </is>
      </c>
      <c r="D29" s="4" t="inlineStr">
        <is>
          <t>Compliance &amp; Safety</t>
        </is>
      </c>
      <c r="E29" s="5" t="n">
        <v>0.18</v>
      </c>
      <c r="F29" s="6" t="n">
        <v>0.041</v>
      </c>
      <c r="G29" s="7" t="n">
        <v>0.0205</v>
      </c>
      <c r="H29" s="7">
        <f>E29-G29</f>
        <v/>
      </c>
      <c r="I29" s="8">
        <f>H29/E29</f>
        <v/>
      </c>
      <c r="J29" s="4" t="n">
        <v>5</v>
      </c>
      <c r="K29" s="9" t="inlineStr">
        <is>
          <t>½ × Clearbit ($0.36)</t>
        </is>
      </c>
    </row>
    <row r="30">
      <c r="A30" s="4" t="inlineStr">
        <is>
          <t>sage-moderate</t>
        </is>
      </c>
      <c r="B30" s="4" t="inlineStr">
        <is>
          <t>sage-moderate</t>
        </is>
      </c>
      <c r="C30" s="4" t="inlineStr">
        <is>
          <t>Tier 2 Marketplace</t>
        </is>
      </c>
      <c r="D30" s="4" t="inlineStr">
        <is>
          <t>Compliance &amp; Safety</t>
        </is>
      </c>
      <c r="E30" s="5" t="n">
        <v>0.18</v>
      </c>
      <c r="F30" s="6" t="n">
        <v>0.025</v>
      </c>
      <c r="G30" s="7" t="n">
        <v>0.0125</v>
      </c>
      <c r="H30" s="7">
        <f>E30-G30</f>
        <v/>
      </c>
      <c r="I30" s="8">
        <f>H30/E30</f>
        <v/>
      </c>
      <c r="J30" s="4" t="n">
        <v>3</v>
      </c>
      <c r="K30" s="9" t="inlineStr">
        <is>
          <t>½ × Clearbit ($0.36)</t>
        </is>
      </c>
    </row>
    <row r="31">
      <c r="A31" s="4" t="inlineStr">
        <is>
          <t>sage-educate</t>
        </is>
      </c>
      <c r="B31" s="4" t="inlineStr">
        <is>
          <t>sage-educate</t>
        </is>
      </c>
      <c r="C31" s="4" t="inlineStr">
        <is>
          <t>Tier 2 Marketplace</t>
        </is>
      </c>
      <c r="D31" s="4" t="inlineStr">
        <is>
          <t>Compliance &amp; Safety</t>
        </is>
      </c>
      <c r="E31" s="5" t="n">
        <v>0.18</v>
      </c>
      <c r="F31" s="6" t="n">
        <v>0.041</v>
      </c>
      <c r="G31" s="7" t="n">
        <v>0.0205</v>
      </c>
      <c r="H31" s="7">
        <f>E31-G31</f>
        <v/>
      </c>
      <c r="I31" s="8">
        <f>H31/E31</f>
        <v/>
      </c>
      <c r="J31" s="4" t="n">
        <v>5</v>
      </c>
      <c r="K31" s="9" t="inlineStr">
        <is>
          <t>½ × Clearbit ($0.36)</t>
        </is>
      </c>
    </row>
    <row r="32">
      <c r="A32" s="4" t="inlineStr">
        <is>
          <t>sage-classify</t>
        </is>
      </c>
      <c r="B32" s="4" t="inlineStr">
        <is>
          <t>sage-classify</t>
        </is>
      </c>
      <c r="C32" s="4" t="inlineStr">
        <is>
          <t>Tier 2 Marketplace</t>
        </is>
      </c>
      <c r="D32" s="4" t="inlineStr">
        <is>
          <t>Utility</t>
        </is>
      </c>
      <c r="E32" s="5" t="n">
        <v>0.18</v>
      </c>
      <c r="F32" s="6" t="n">
        <v>0.025</v>
      </c>
      <c r="G32" s="7" t="n">
        <v>0.0125</v>
      </c>
      <c r="H32" s="7">
        <f>E32-G32</f>
        <v/>
      </c>
      <c r="I32" s="8">
        <f>H32/E32</f>
        <v/>
      </c>
      <c r="J32" s="4" t="n">
        <v>3</v>
      </c>
      <c r="K32" s="9" t="inlineStr">
        <is>
          <t>½ × Clearbit ($0.36)</t>
        </is>
      </c>
    </row>
    <row r="33">
      <c r="A33" s="4" t="inlineStr">
        <is>
          <t>sage-prioritise</t>
        </is>
      </c>
      <c r="B33" s="4" t="inlineStr">
        <is>
          <t>sage-prioritise</t>
        </is>
      </c>
      <c r="C33" s="4" t="inlineStr">
        <is>
          <t>Tier 2 Marketplace</t>
        </is>
      </c>
      <c r="D33" s="4" t="inlineStr">
        <is>
          <t>Utility</t>
        </is>
      </c>
      <c r="E33" s="5" t="n">
        <v>0.18</v>
      </c>
      <c r="F33" s="6" t="n">
        <v>0.025</v>
      </c>
      <c r="G33" s="7" t="n">
        <v>0.0125</v>
      </c>
      <c r="H33" s="7">
        <f>E33-G33</f>
        <v/>
      </c>
      <c r="I33" s="8">
        <f>H33/E33</f>
        <v/>
      </c>
      <c r="J33" s="4" t="n">
        <v>3</v>
      </c>
      <c r="K33" s="9" t="inlineStr">
        <is>
          <t>½ × Clearbit ($0.36)</t>
        </is>
      </c>
    </row>
    <row r="35">
      <c r="A35" s="10" t="inlineStr">
        <is>
          <t>CATALOG SUMMARY</t>
        </is>
      </c>
    </row>
    <row r="36">
      <c r="A36" s="11" t="inlineStr">
        <is>
          <t>Total paid skills</t>
        </is>
      </c>
      <c r="B36" s="11">
        <f>COUNTIF(E5:E33,"&gt;0")</f>
        <v/>
      </c>
    </row>
    <row r="37">
      <c r="A37" s="11" t="inlineStr">
        <is>
          <t>Avg new price (paid skills)</t>
        </is>
      </c>
      <c r="B37" s="12">
        <f>AVERAGEIF(E5:E33,"&gt;0")</f>
        <v/>
      </c>
    </row>
    <row r="38">
      <c r="A38" s="13" t="inlineStr">
        <is>
          <t>Avg old price (paid skills)</t>
        </is>
      </c>
      <c r="B38" s="14">
        <f>AVERAGEIF(F5:F33,"&gt;0")</f>
        <v/>
      </c>
    </row>
    <row r="39">
      <c r="A39" s="15" t="inlineStr">
        <is>
          <t>Avg price increase</t>
        </is>
      </c>
      <c r="B39" s="16">
        <f>B37/B38-1</f>
        <v/>
      </c>
    </row>
    <row r="40">
      <c r="A40" s="11" t="inlineStr">
        <is>
          <t>Avg margin % (was 50% flat)</t>
        </is>
      </c>
      <c r="B40" s="17">
        <f>AVERAGEIF(I5:I33,"&gt;0")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Agent Usage Profiles — Revised Pricing (Half-Competitor Rule)</t>
        </is>
      </c>
    </row>
    <row r="2">
      <c r="A2" s="2" t="inlineStr">
        <is>
          <t>Call volumes unchanged. Prices revised per half-competitor rule. Revenue = calls × new price.</t>
        </is>
      </c>
    </row>
    <row r="3">
      <c r="B3" s="18" t="inlineStr">
        <is>
          <t>sage-guard for every decision, sage-score for flagged items</t>
        </is>
      </c>
      <c r="C3" s="18" t="inlineStr">
        <is>
          <t>Core evaluation suite for business decisions</t>
        </is>
      </c>
      <c r="D3" s="18" t="inlineStr">
        <is>
          <t>Governance + compliance + audit focus</t>
        </is>
      </c>
      <c r="E3" s="18" t="inlineStr">
        <is>
          <t>Coaching, identity, reflection focus</t>
        </is>
      </c>
      <c r="F3" s="18" t="inlineStr">
        <is>
          <t>Broad skill mix across categories</t>
        </is>
      </c>
    </row>
    <row r="4">
      <c r="A4" s="19" t="inlineStr">
        <is>
          <t>Skill</t>
        </is>
      </c>
      <c r="B4" s="20" t="inlineStr">
        <is>
          <t>Reasoning Guard
(High-Volume Gate)</t>
        </is>
      </c>
      <c r="C4" s="20" t="inlineStr">
        <is>
          <t>Decision Support
(Standard Agent)</t>
        </is>
      </c>
      <c r="D4" s="20" t="inlineStr">
        <is>
          <t>Compliance Agent
(Enterprise)</t>
        </is>
      </c>
      <c r="E4" s="20" t="inlineStr">
        <is>
          <t>Personal Coach
(Consumer App)</t>
        </is>
      </c>
      <c r="F4" s="20" t="inlineStr">
        <is>
          <t>Full-Stack Agent
(Power User)</t>
        </is>
      </c>
      <c r="G4" s="20" t="inlineStr">
        <is>
          <t>New Price</t>
        </is>
      </c>
      <c r="H4" s="20" t="inlineStr">
        <is>
          <t>LLM Cost</t>
        </is>
      </c>
    </row>
    <row r="5">
      <c r="A5" s="10" t="inlineStr">
        <is>
          <t>TIER 1: INFRASTRUCTURE</t>
        </is>
      </c>
    </row>
    <row r="6">
      <c r="A6" s="11" t="inlineStr">
        <is>
          <t>sage-reason-quick</t>
        </is>
      </c>
      <c r="B6" s="21" t="n">
        <v>0</v>
      </c>
      <c r="C6" s="21" t="n">
        <v>200</v>
      </c>
      <c r="D6" s="21" t="n">
        <v>100</v>
      </c>
      <c r="E6" s="21" t="n">
        <v>150</v>
      </c>
      <c r="F6" s="21" t="n">
        <v>300</v>
      </c>
      <c r="G6" s="22" t="n">
        <v>0.18</v>
      </c>
      <c r="H6" s="23" t="n">
        <v>0.0125</v>
      </c>
    </row>
    <row r="7">
      <c r="A7" s="11" t="inlineStr">
        <is>
          <t>sage-reason-standard</t>
        </is>
      </c>
      <c r="B7" s="21" t="n">
        <v>0</v>
      </c>
      <c r="C7" s="21" t="n">
        <v>500</v>
      </c>
      <c r="D7" s="21" t="n">
        <v>300</v>
      </c>
      <c r="E7" s="21" t="n">
        <v>200</v>
      </c>
      <c r="F7" s="21" t="n">
        <v>400</v>
      </c>
      <c r="G7" s="22" t="n">
        <v>0.18</v>
      </c>
      <c r="H7" s="23" t="n">
        <v>0.0205</v>
      </c>
    </row>
    <row r="8">
      <c r="A8" s="11" t="inlineStr">
        <is>
          <t>sage-reason-deep</t>
        </is>
      </c>
      <c r="B8" s="21" t="n">
        <v>0</v>
      </c>
      <c r="C8" s="21" t="n">
        <v>50</v>
      </c>
      <c r="D8" s="21" t="n">
        <v>100</v>
      </c>
      <c r="E8" s="21" t="n">
        <v>100</v>
      </c>
      <c r="F8" s="21" t="n">
        <v>200</v>
      </c>
      <c r="G8" s="22" t="n">
        <v>0.18</v>
      </c>
      <c r="H8" s="23" t="n">
        <v>0.0275</v>
      </c>
    </row>
    <row r="9">
      <c r="A9" s="10" t="inlineStr">
        <is>
          <t>TIER 2: CORE EVALUATION</t>
        </is>
      </c>
    </row>
    <row r="10">
      <c r="A10" s="11" t="inlineStr">
        <is>
          <t>sage-guard</t>
        </is>
      </c>
      <c r="B10" s="21" t="n">
        <v>5000</v>
      </c>
      <c r="C10" s="21" t="n">
        <v>200</v>
      </c>
      <c r="D10" s="21" t="n">
        <v>1000</v>
      </c>
      <c r="E10" s="21" t="n">
        <v>100</v>
      </c>
      <c r="F10" s="21" t="n">
        <v>500</v>
      </c>
      <c r="G10" s="22" t="n">
        <v>0.0025</v>
      </c>
      <c r="H10" s="23" t="n">
        <v>0.0005</v>
      </c>
    </row>
    <row r="11">
      <c r="A11" s="11" t="inlineStr">
        <is>
          <t>sage-score</t>
        </is>
      </c>
      <c r="B11" s="21" t="n">
        <v>500</v>
      </c>
      <c r="C11" s="21" t="n">
        <v>300</v>
      </c>
      <c r="D11" s="21" t="n">
        <v>200</v>
      </c>
      <c r="E11" s="21" t="n">
        <v>100</v>
      </c>
      <c r="F11" s="21" t="n">
        <v>200</v>
      </c>
      <c r="G11" s="22" t="n">
        <v>0.18</v>
      </c>
      <c r="H11" s="23" t="n">
        <v>0.0165</v>
      </c>
    </row>
    <row r="12">
      <c r="A12" s="11" t="inlineStr">
        <is>
          <t>sage-iterate (× avg 2.5)</t>
        </is>
      </c>
      <c r="B12" s="21" t="n">
        <v>100</v>
      </c>
      <c r="C12" s="21" t="n">
        <v>200</v>
      </c>
      <c r="D12" s="21" t="n">
        <v>150</v>
      </c>
      <c r="E12" s="21" t="n">
        <v>300</v>
      </c>
      <c r="F12" s="21" t="n">
        <v>250</v>
      </c>
      <c r="G12" s="22" t="n">
        <v>0.18</v>
      </c>
      <c r="H12" s="23" t="n">
        <v>0.0165</v>
      </c>
    </row>
    <row r="13">
      <c r="A13" s="11" t="inlineStr">
        <is>
          <t>sage-decide</t>
        </is>
      </c>
      <c r="B13" s="21" t="n">
        <v>0</v>
      </c>
      <c r="C13" s="21" t="n">
        <v>200</v>
      </c>
      <c r="D13" s="21" t="n">
        <v>50</v>
      </c>
      <c r="E13" s="21" t="n">
        <v>50</v>
      </c>
      <c r="F13" s="21" t="n">
        <v>150</v>
      </c>
      <c r="G13" s="22" t="n">
        <v>0.18</v>
      </c>
      <c r="H13" s="23" t="n">
        <v>0.0165</v>
      </c>
    </row>
    <row r="14">
      <c r="A14" s="11" t="inlineStr">
        <is>
          <t>sage-audit</t>
        </is>
      </c>
      <c r="B14" s="21" t="n">
        <v>0</v>
      </c>
      <c r="C14" s="21" t="n">
        <v>50</v>
      </c>
      <c r="D14" s="21" t="n">
        <v>300</v>
      </c>
      <c r="E14" s="21" t="n">
        <v>0</v>
      </c>
      <c r="F14" s="21" t="n">
        <v>100</v>
      </c>
      <c r="G14" s="22" t="n">
        <v>0.18</v>
      </c>
      <c r="H14" s="23" t="n">
        <v>0.0165</v>
      </c>
    </row>
    <row r="15">
      <c r="A15" s="11" t="inlineStr">
        <is>
          <t>sage-converse</t>
        </is>
      </c>
      <c r="B15" s="21" t="n">
        <v>0</v>
      </c>
      <c r="C15" s="21" t="n">
        <v>0</v>
      </c>
      <c r="D15" s="21" t="n">
        <v>100</v>
      </c>
      <c r="E15" s="21" t="n">
        <v>50</v>
      </c>
      <c r="F15" s="21" t="n">
        <v>50</v>
      </c>
      <c r="G15" s="22" t="n">
        <v>0.18</v>
      </c>
      <c r="H15" s="23" t="n">
        <v>0.0165</v>
      </c>
    </row>
    <row r="16">
      <c r="A16" s="11" t="inlineStr">
        <is>
          <t>sage-scenario</t>
        </is>
      </c>
      <c r="B16" s="21" t="n">
        <v>0</v>
      </c>
      <c r="C16" s="21" t="n">
        <v>20</v>
      </c>
      <c r="D16" s="21" t="n">
        <v>0</v>
      </c>
      <c r="E16" s="21" t="n">
        <v>100</v>
      </c>
      <c r="F16" s="21" t="n">
        <v>50</v>
      </c>
      <c r="G16" s="22" t="n">
        <v>0.18</v>
      </c>
      <c r="H16" s="23" t="n">
        <v>0.033</v>
      </c>
    </row>
    <row r="17">
      <c r="A17" s="11" t="inlineStr">
        <is>
          <t>sage-reflect</t>
        </is>
      </c>
      <c r="B17" s="21" t="n">
        <v>0</v>
      </c>
      <c r="C17" s="21" t="n">
        <v>0</v>
      </c>
      <c r="D17" s="21" t="n">
        <v>0</v>
      </c>
      <c r="E17" s="21" t="n">
        <v>200</v>
      </c>
      <c r="F17" s="21" t="n">
        <v>100</v>
      </c>
      <c r="G17" s="22" t="n">
        <v>0.18</v>
      </c>
      <c r="H17" s="23" t="n">
        <v>0.0165</v>
      </c>
    </row>
    <row r="18">
      <c r="A18" s="11" t="inlineStr">
        <is>
          <t>sage-diagnose</t>
        </is>
      </c>
      <c r="B18" s="21" t="n">
        <v>0</v>
      </c>
      <c r="C18" s="21" t="n">
        <v>10</v>
      </c>
      <c r="D18" s="21" t="n">
        <v>20</v>
      </c>
      <c r="E18" s="21" t="n">
        <v>30</v>
      </c>
      <c r="F18" s="21" t="n">
        <v>20</v>
      </c>
      <c r="G18" s="22" t="n">
        <v>0.5</v>
      </c>
      <c r="H18" s="23" t="n">
        <v>0.0165</v>
      </c>
    </row>
    <row r="19">
      <c r="A19" s="11" t="inlineStr">
        <is>
          <t>sage-profile</t>
        </is>
      </c>
      <c r="B19" s="21" t="n">
        <v>0</v>
      </c>
      <c r="C19" s="21" t="n">
        <v>10</v>
      </c>
      <c r="D19" s="21" t="n">
        <v>20</v>
      </c>
      <c r="E19" s="21" t="n">
        <v>20</v>
      </c>
      <c r="F19" s="21" t="n">
        <v>15</v>
      </c>
      <c r="G19" s="22" t="n">
        <v>0.5</v>
      </c>
      <c r="H19" s="23" t="n">
        <v>0.0165</v>
      </c>
    </row>
    <row r="20">
      <c r="A20" s="10" t="inlineStr">
        <is>
          <t>TIER 2: MARKETPLACE</t>
        </is>
      </c>
    </row>
    <row r="21">
      <c r="A21" s="11" t="inlineStr">
        <is>
          <t>sage-premortem</t>
        </is>
      </c>
      <c r="B21" s="21" t="n">
        <v>0</v>
      </c>
      <c r="C21" s="21" t="n">
        <v>100</v>
      </c>
      <c r="D21" s="21" t="n">
        <v>50</v>
      </c>
      <c r="E21" s="21" t="n">
        <v>0</v>
      </c>
      <c r="F21" s="21" t="n">
        <v>80</v>
      </c>
      <c r="G21" s="22" t="n">
        <v>0.18</v>
      </c>
      <c r="H21" s="23" t="n">
        <v>0.0205</v>
      </c>
    </row>
    <row r="22">
      <c r="A22" s="11" t="inlineStr">
        <is>
          <t>sage-negotiate</t>
        </is>
      </c>
      <c r="B22" s="21" t="n">
        <v>0</v>
      </c>
      <c r="C22" s="21" t="n">
        <v>80</v>
      </c>
      <c r="D22" s="21" t="n">
        <v>0</v>
      </c>
      <c r="E22" s="21" t="n">
        <v>0</v>
      </c>
      <c r="F22" s="21" t="n">
        <v>50</v>
      </c>
      <c r="G22" s="22" t="n">
        <v>0.18</v>
      </c>
      <c r="H22" s="23" t="n">
        <v>0.0205</v>
      </c>
    </row>
    <row r="23">
      <c r="A23" s="11" t="inlineStr">
        <is>
          <t>sage-invest</t>
        </is>
      </c>
      <c r="B23" s="21" t="n">
        <v>0</v>
      </c>
      <c r="C23" s="21" t="n">
        <v>50</v>
      </c>
      <c r="D23" s="21" t="n">
        <v>0</v>
      </c>
      <c r="E23" s="21" t="n">
        <v>0</v>
      </c>
      <c r="F23" s="21" t="n">
        <v>30</v>
      </c>
      <c r="G23" s="22" t="n">
        <v>0.18</v>
      </c>
      <c r="H23" s="23" t="n">
        <v>0.0205</v>
      </c>
    </row>
    <row r="24">
      <c r="A24" s="11" t="inlineStr">
        <is>
          <t>sage-pivot</t>
        </is>
      </c>
      <c r="B24" s="21" t="n">
        <v>0</v>
      </c>
      <c r="C24" s="21" t="n">
        <v>30</v>
      </c>
      <c r="D24" s="21" t="n">
        <v>0</v>
      </c>
      <c r="E24" s="21" t="n">
        <v>0</v>
      </c>
      <c r="F24" s="21" t="n">
        <v>20</v>
      </c>
      <c r="G24" s="22" t="n">
        <v>0.18</v>
      </c>
      <c r="H24" s="23" t="n">
        <v>0.0205</v>
      </c>
    </row>
    <row r="25">
      <c r="A25" s="11" t="inlineStr">
        <is>
          <t>sage-retro</t>
        </is>
      </c>
      <c r="B25" s="21" t="n">
        <v>0</v>
      </c>
      <c r="C25" s="21" t="n">
        <v>50</v>
      </c>
      <c r="D25" s="21" t="n">
        <v>30</v>
      </c>
      <c r="E25" s="21" t="n">
        <v>0</v>
      </c>
      <c r="F25" s="21" t="n">
        <v>40</v>
      </c>
      <c r="G25" s="22" t="n">
        <v>0.18</v>
      </c>
      <c r="H25" s="23" t="n">
        <v>0.0205</v>
      </c>
    </row>
    <row r="26">
      <c r="A26" s="11" t="inlineStr">
        <is>
          <t>sage-align</t>
        </is>
      </c>
      <c r="B26" s="21" t="n">
        <v>0</v>
      </c>
      <c r="C26" s="21" t="n">
        <v>30</v>
      </c>
      <c r="D26" s="21" t="n">
        <v>50</v>
      </c>
      <c r="E26" s="21" t="n">
        <v>0</v>
      </c>
      <c r="F26" s="21" t="n">
        <v>30</v>
      </c>
      <c r="G26" s="22" t="n">
        <v>0.18</v>
      </c>
      <c r="H26" s="23" t="n">
        <v>0.0205</v>
      </c>
    </row>
    <row r="27">
      <c r="A27" s="11" t="inlineStr">
        <is>
          <t>sage-resolve</t>
        </is>
      </c>
      <c r="B27" s="21" t="n">
        <v>0</v>
      </c>
      <c r="C27" s="21" t="n">
        <v>20</v>
      </c>
      <c r="D27" s="21" t="n">
        <v>30</v>
      </c>
      <c r="E27" s="21" t="n">
        <v>20</v>
      </c>
      <c r="F27" s="21" t="n">
        <v>20</v>
      </c>
      <c r="G27" s="22" t="n">
        <v>0.18</v>
      </c>
      <c r="H27" s="23" t="n">
        <v>0.0205</v>
      </c>
    </row>
    <row r="28">
      <c r="A28" s="11" t="inlineStr">
        <is>
          <t>sage-coach</t>
        </is>
      </c>
      <c r="B28" s="21" t="n">
        <v>0</v>
      </c>
      <c r="C28" s="21" t="n">
        <v>0</v>
      </c>
      <c r="D28" s="21" t="n">
        <v>0</v>
      </c>
      <c r="E28" s="21" t="n">
        <v>200</v>
      </c>
      <c r="F28" s="21" t="n">
        <v>30</v>
      </c>
      <c r="G28" s="22" t="n">
        <v>0.18</v>
      </c>
      <c r="H28" s="23" t="n">
        <v>0.0205</v>
      </c>
    </row>
    <row r="29">
      <c r="A29" s="11" t="inlineStr">
        <is>
          <t>sage-identity</t>
        </is>
      </c>
      <c r="B29" s="21" t="n">
        <v>0</v>
      </c>
      <c r="C29" s="21" t="n">
        <v>0</v>
      </c>
      <c r="D29" s="21" t="n">
        <v>0</v>
      </c>
      <c r="E29" s="21" t="n">
        <v>100</v>
      </c>
      <c r="F29" s="21" t="n">
        <v>20</v>
      </c>
      <c r="G29" s="22" t="n">
        <v>0.18</v>
      </c>
      <c r="H29" s="23" t="n">
        <v>0.0275</v>
      </c>
    </row>
    <row r="30">
      <c r="A30" s="11" t="inlineStr">
        <is>
          <t>sage-govern</t>
        </is>
      </c>
      <c r="B30" s="21" t="n">
        <v>0</v>
      </c>
      <c r="C30" s="21" t="n">
        <v>0</v>
      </c>
      <c r="D30" s="21" t="n">
        <v>200</v>
      </c>
      <c r="E30" s="21" t="n">
        <v>0</v>
      </c>
      <c r="F30" s="21" t="n">
        <v>30</v>
      </c>
      <c r="G30" s="22" t="n">
        <v>0.18</v>
      </c>
      <c r="H30" s="23" t="n">
        <v>0.0275</v>
      </c>
    </row>
    <row r="31">
      <c r="A31" s="11" t="inlineStr">
        <is>
          <t>sage-compliance</t>
        </is>
      </c>
      <c r="B31" s="21" t="n">
        <v>0</v>
      </c>
      <c r="C31" s="21" t="n">
        <v>0</v>
      </c>
      <c r="D31" s="21" t="n">
        <v>300</v>
      </c>
      <c r="E31" s="21" t="n">
        <v>0</v>
      </c>
      <c r="F31" s="21" t="n">
        <v>50</v>
      </c>
      <c r="G31" s="22" t="n">
        <v>0.18</v>
      </c>
      <c r="H31" s="23" t="n">
        <v>0.0205</v>
      </c>
    </row>
    <row r="32">
      <c r="A32" s="11" t="inlineStr">
        <is>
          <t>sage-moderate</t>
        </is>
      </c>
      <c r="B32" s="21" t="n">
        <v>0</v>
      </c>
      <c r="C32" s="21" t="n">
        <v>0</v>
      </c>
      <c r="D32" s="21" t="n">
        <v>200</v>
      </c>
      <c r="E32" s="21" t="n">
        <v>0</v>
      </c>
      <c r="F32" s="21" t="n">
        <v>100</v>
      </c>
      <c r="G32" s="22" t="n">
        <v>0.18</v>
      </c>
      <c r="H32" s="23" t="n">
        <v>0.0125</v>
      </c>
    </row>
    <row r="33">
      <c r="A33" s="11" t="inlineStr">
        <is>
          <t>sage-educate</t>
        </is>
      </c>
      <c r="B33" s="21" t="n">
        <v>0</v>
      </c>
      <c r="C33" s="21" t="n">
        <v>0</v>
      </c>
      <c r="D33" s="21" t="n">
        <v>0</v>
      </c>
      <c r="E33" s="21" t="n">
        <v>50</v>
      </c>
      <c r="F33" s="21" t="n">
        <v>30</v>
      </c>
      <c r="G33" s="22" t="n">
        <v>0.18</v>
      </c>
      <c r="H33" s="23" t="n">
        <v>0.0205</v>
      </c>
    </row>
    <row r="34">
      <c r="A34" s="11" t="inlineStr">
        <is>
          <t>sage-classify</t>
        </is>
      </c>
      <c r="B34" s="21" t="n">
        <v>0</v>
      </c>
      <c r="C34" s="21" t="n">
        <v>100</v>
      </c>
      <c r="D34" s="21" t="n">
        <v>100</v>
      </c>
      <c r="E34" s="21" t="n">
        <v>50</v>
      </c>
      <c r="F34" s="21" t="n">
        <v>100</v>
      </c>
      <c r="G34" s="22" t="n">
        <v>0.18</v>
      </c>
      <c r="H34" s="23" t="n">
        <v>0.0125</v>
      </c>
    </row>
    <row r="35">
      <c r="A35" s="11" t="inlineStr">
        <is>
          <t>sage-prioritise</t>
        </is>
      </c>
      <c r="B35" s="21" t="n">
        <v>0</v>
      </c>
      <c r="C35" s="21" t="n">
        <v>100</v>
      </c>
      <c r="D35" s="21" t="n">
        <v>50</v>
      </c>
      <c r="E35" s="21" t="n">
        <v>50</v>
      </c>
      <c r="F35" s="21" t="n">
        <v>80</v>
      </c>
      <c r="G35" s="22" t="n">
        <v>0.18</v>
      </c>
      <c r="H35" s="23" t="n">
        <v>0.0125</v>
      </c>
    </row>
    <row r="37">
      <c r="A37" s="10" t="inlineStr">
        <is>
          <t>TOTAL CALLS / MONTH</t>
        </is>
      </c>
      <c r="B37" s="24">
        <f>B6+B7+B8+B10+B11+B12+B13+B14+B15+B16+B17+B18+B19+B21+B22+B23+B24+B25+B26+B27+B28+B29+B30+B31+B32+B33+B34+B35</f>
        <v/>
      </c>
      <c r="C37" s="24">
        <f>C6+C7+C8+C10+C11+C12+C13+C14+C15+C16+C17+C18+C19+C21+C22+C23+C24+C25+C26+C27+C28+C29+C30+C31+C32+C33+C34+C35</f>
        <v/>
      </c>
      <c r="D37" s="24">
        <f>D6+D7+D8+D10+D11+D12+D13+D14+D15+D16+D17+D18+D19+D21+D22+D23+D24+D25+D26+D27+D28+D29+D30+D31+D32+D33+D34+D35</f>
        <v/>
      </c>
      <c r="E37" s="24">
        <f>E6+E7+E8+E10+E11+E12+E13+E14+E15+E16+E17+E18+E19+E21+E22+E23+E24+E25+E26+E27+E28+E29+E30+E31+E32+E33+E34+E35</f>
        <v/>
      </c>
      <c r="F37" s="24">
        <f>F6+F7+F8+F10+F11+F12+F13+F14+F15+F16+F17+F18+F19+F21+F22+F23+F24+F25+F26+F27+F28+F29+F30+F31+F32+F33+F34+F35</f>
        <v/>
      </c>
    </row>
    <row r="38">
      <c r="A38" s="10" t="inlineStr">
        <is>
          <t>REVENUE / MONTH (per agent)</t>
        </is>
      </c>
      <c r="B38" s="25">
        <f>(B6*G6)+(B7*G7)+(B8*G8)+(B10*G10)+(B11*G11)+(B12*G12)+(B13*G13)+(B14*G14)+(B15*G15)+(B16*G16)+(B17*G17)+(B18*G18)+(B19*G19)+(B21*G21)+(B22*G22)+(B23*G23)+(B24*G24)+(B25*G25)+(B26*G26)+(B27*G27)+(B28*G28)+(B29*G29)+(B30*G30)+(B31*G31)+(B32*G32)+(B33*G33)+(B34*G34)+(B35*G35)</f>
        <v/>
      </c>
      <c r="C38" s="25">
        <f>(C6*G6)+(C7*G7)+(C8*G8)+(C10*G10)+(C11*G11)+(C12*G12)+(C13*G13)+(C14*G14)+(C15*G15)+(C16*G16)+(C17*G17)+(C18*G18)+(C19*G19)+(C21*G21)+(C22*G22)+(C23*G23)+(C24*G24)+(C25*G25)+(C26*G26)+(C27*G27)+(C28*G28)+(C29*G29)+(C30*G30)+(C31*G31)+(C32*G32)+(C33*G33)+(C34*G34)+(C35*G35)</f>
        <v/>
      </c>
      <c r="D38" s="25">
        <f>(D6*G6)+(D7*G7)+(D8*G8)+(D10*G10)+(D11*G11)+(D12*G12)+(D13*G13)+(D14*G14)+(D15*G15)+(D16*G16)+(D17*G17)+(D18*G18)+(D19*G19)+(D21*G21)+(D22*G22)+(D23*G23)+(D24*G24)+(D25*G25)+(D26*G26)+(D27*G27)+(D28*G28)+(D29*G29)+(D30*G30)+(D31*G31)+(D32*G32)+(D33*G33)+(D34*G34)+(D35*G35)</f>
        <v/>
      </c>
      <c r="E38" s="25">
        <f>(E6*G6)+(E7*G7)+(E8*G8)+(E10*G10)+(E11*G11)+(E12*G12)+(E13*G13)+(E14*G14)+(E15*G15)+(E16*G16)+(E17*G17)+(E18*G18)+(E19*G19)+(E21*G21)+(E22*G22)+(E23*G23)+(E24*G24)+(E25*G25)+(E26*G26)+(E27*G27)+(E28*G28)+(E29*G29)+(E30*G30)+(E31*G31)+(E32*G32)+(E33*G33)+(E34*G34)+(E35*G35)</f>
        <v/>
      </c>
      <c r="F38" s="25">
        <f>(F6*G6)+(F7*G7)+(F8*G8)+(F10*G10)+(F11*G11)+(F12*G12)+(F13*G13)+(F14*G14)+(F15*G15)+(F16*G16)+(F17*G17)+(F18*G18)+(F19*G19)+(F21*G21)+(F22*G22)+(F23*G23)+(F24*G24)+(F25*G25)+(F26*G26)+(F27*G27)+(F28*G28)+(F29*G29)+(F30*G30)+(F31*G31)+(F32*G32)+(F33*G33)+(F34*G34)+(F35*G35)</f>
        <v/>
      </c>
    </row>
    <row r="39">
      <c r="A39" s="10" t="inlineStr">
        <is>
          <t>OUR LLM COST / MONTH (per agent)</t>
        </is>
      </c>
      <c r="B39" s="25">
        <f>(B6*H6)+(B7*H7)+(B8*H8)+(B10*H10)+(B11*H11)+(B12*H12)+(B13*H13)+(B14*H14)+(B15*H15)+(B16*H16)+(B17*H17)+(B18*H18)+(B19*H19)+(B21*H21)+(B22*H22)+(B23*H23)+(B24*H24)+(B25*H25)+(B26*H26)+(B27*H27)+(B28*H28)+(B29*H29)+(B30*H30)+(B31*H31)+(B32*H32)+(B33*H33)+(B34*H34)+(B35*H35)</f>
        <v/>
      </c>
      <c r="C39" s="25">
        <f>(C6*H6)+(C7*H7)+(C8*H8)+(C10*H10)+(C11*H11)+(C12*H12)+(C13*H13)+(C14*H14)+(C15*H15)+(C16*H16)+(C17*H17)+(C18*H18)+(C19*H19)+(C21*H21)+(C22*H22)+(C23*H23)+(C24*H24)+(C25*H25)+(C26*H26)+(C27*H27)+(C28*H28)+(C29*H29)+(C30*H30)+(C31*H31)+(C32*H32)+(C33*H33)+(C34*H34)+(C35*H35)</f>
        <v/>
      </c>
      <c r="D39" s="25">
        <f>(D6*H6)+(D7*H7)+(D8*H8)+(D10*H10)+(D11*H11)+(D12*H12)+(D13*H13)+(D14*H14)+(D15*H15)+(D16*H16)+(D17*H17)+(D18*H18)+(D19*H19)+(D21*H21)+(D22*H22)+(D23*H23)+(D24*H24)+(D25*H25)+(D26*H26)+(D27*H27)+(D28*H28)+(D29*H29)+(D30*H30)+(D31*H31)+(D32*H32)+(D33*H33)+(D34*H34)+(D35*H35)</f>
        <v/>
      </c>
      <c r="E39" s="25">
        <f>(E6*H6)+(E7*H7)+(E8*H8)+(E10*H10)+(E11*H11)+(E12*H12)+(E13*H13)+(E14*H14)+(E15*H15)+(E16*H16)+(E17*H17)+(E18*H18)+(E19*H19)+(E21*H21)+(E22*H22)+(E23*H23)+(E24*H24)+(E25*H25)+(E26*H26)+(E27*H27)+(E28*H28)+(E29*H29)+(E30*H30)+(E31*H31)+(E32*H32)+(E33*H33)+(E34*H34)+(E35*H35)</f>
        <v/>
      </c>
      <c r="F39" s="25">
        <f>(F6*H6)+(F7*H7)+(F8*H8)+(F10*H10)+(F11*H11)+(F12*H12)+(F13*H13)+(F14*H14)+(F15*H15)+(F16*H16)+(F17*H17)+(F18*H18)+(F19*H19)+(F21*H21)+(F22*H22)+(F23*H23)+(F24*H24)+(F25*H25)+(F26*H26)+(F27*H27)+(F28*H28)+(F29*H29)+(F30*H30)+(F31*H31)+(F32*H32)+(F33*H33)+(F34*H34)+(F35*H35)</f>
        <v/>
      </c>
    </row>
    <row r="40">
      <c r="A40" s="10" t="inlineStr">
        <is>
          <t>MARGIN / MONTH (per agent)</t>
        </is>
      </c>
      <c r="B40" s="25">
        <f>B38-B39</f>
        <v/>
      </c>
      <c r="C40" s="25">
        <f>C38-C39</f>
        <v/>
      </c>
      <c r="D40" s="25">
        <f>D38-D39</f>
        <v/>
      </c>
      <c r="E40" s="25">
        <f>E38-E39</f>
        <v/>
      </c>
      <c r="F40" s="25">
        <f>F38-F39</f>
        <v/>
      </c>
    </row>
    <row r="41">
      <c r="A41" s="10" t="inlineStr">
        <is>
          <t>MARGIN % (per agent)</t>
        </is>
      </c>
      <c r="B41" s="26">
        <f>B40/B38</f>
        <v/>
      </c>
      <c r="C41" s="26">
        <f>C40/C38</f>
        <v/>
      </c>
      <c r="D41" s="26">
        <f>D40/D38</f>
        <v/>
      </c>
      <c r="E41" s="26">
        <f>E40/E38</f>
        <v/>
      </c>
      <c r="F41" s="26">
        <f>F40/F38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70" customWidth="1" min="3" max="3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 / Rationale</t>
        </is>
      </c>
    </row>
    <row r="2">
      <c r="A2" s="11" t="inlineStr"/>
      <c r="C2" s="27" t="inlineStr"/>
    </row>
    <row r="3">
      <c r="A3" s="11" t="inlineStr">
        <is>
          <t>UPFRONT COSTS (One-Time)</t>
        </is>
      </c>
      <c r="C3" s="27" t="inlineStr"/>
    </row>
    <row r="4">
      <c r="A4" s="11" t="inlineStr">
        <is>
          <t>Pty Ltd Registration (ASIC)</t>
        </is>
      </c>
      <c r="B4" s="28" t="n">
        <v>576</v>
      </c>
      <c r="C4" s="27" t="inlineStr">
        <is>
          <t>Source: register.business.gov.au, 2026</t>
        </is>
      </c>
    </row>
    <row r="5">
      <c r="A5" s="11" t="inlineStr">
        <is>
          <t>Director ID Application</t>
        </is>
      </c>
      <c r="B5" s="28" t="n">
        <v>0</v>
      </c>
      <c r="C5" s="27" t="inlineStr">
        <is>
          <t>Free via abrs.gov.au</t>
        </is>
      </c>
    </row>
    <row r="6">
      <c r="A6" s="11" t="inlineStr">
        <is>
          <t>Business Name Registration (3yr)</t>
        </is>
      </c>
      <c r="B6" s="28" t="n">
        <v>98</v>
      </c>
      <c r="C6" s="27" t="inlineStr">
        <is>
          <t>Source: ASIC, $42/yr or $98/3yr</t>
        </is>
      </c>
    </row>
    <row r="7">
      <c r="A7" s="11" t="inlineStr">
        <is>
          <t>Legal Review (Terms + Privacy)</t>
        </is>
      </c>
      <c r="B7" s="28" t="n">
        <v>3500</v>
      </c>
      <c r="C7" s="27" t="inlineStr">
        <is>
          <t>Estimate: Australian technology lawyer, 2026</t>
        </is>
      </c>
    </row>
    <row r="8">
      <c r="A8" s="11" t="inlineStr">
        <is>
          <t>PI + Cyber Insurance (Year 1)</t>
        </is>
      </c>
      <c r="B8" s="28" t="n">
        <v>1500</v>
      </c>
      <c r="C8" s="27" t="inlineStr">
        <is>
          <t>Source: Startupcover/BizCover, $900-$2,000 range. Midpoint used.</t>
        </is>
      </c>
    </row>
    <row r="9">
      <c r="A9" s="11" t="inlineStr">
        <is>
          <t>Domain (sagereasoning.com) - already owned</t>
        </is>
      </c>
      <c r="B9" s="28" t="n">
        <v>0</v>
      </c>
      <c r="C9" s="27" t="inlineStr">
        <is>
          <t>Already purchased</t>
        </is>
      </c>
    </row>
    <row r="10">
      <c r="A10" s="11" t="inlineStr">
        <is>
          <t>Stripe Setup</t>
        </is>
      </c>
      <c r="B10" s="28" t="n">
        <v>0</v>
      </c>
      <c r="C10" s="27" t="inlineStr">
        <is>
          <t>Free to set up; per-transaction fees apply</t>
        </is>
      </c>
    </row>
    <row r="11">
      <c r="A11" s="11" t="inlineStr">
        <is>
          <t>TOTAL UPFRONT INVESTMENT</t>
        </is>
      </c>
      <c r="B11" s="29">
        <f>SUM(B4:B10)</f>
        <v/>
      </c>
      <c r="C11" s="27" t="inlineStr"/>
    </row>
    <row r="12">
      <c r="A12" s="11" t="inlineStr"/>
      <c r="C12" s="27" t="inlineStr"/>
    </row>
    <row r="13">
      <c r="A13" s="10" t="inlineStr">
        <is>
          <t>MONTHLY FIXED COSTS</t>
        </is>
      </c>
      <c r="C13" s="27" t="inlineStr"/>
    </row>
    <row r="14">
      <c r="A14" s="11" t="inlineStr">
        <is>
          <t>Vercel Hosting (Pro)</t>
        </is>
      </c>
      <c r="B14" s="28" t="n">
        <v>20</v>
      </c>
      <c r="C14" s="27" t="inlineStr">
        <is>
          <t>Source: vercel.com pricing, 2026</t>
        </is>
      </c>
    </row>
    <row r="15">
      <c r="A15" s="11" t="inlineStr">
        <is>
          <t>Supabase (Pro)</t>
        </is>
      </c>
      <c r="B15" s="28" t="n">
        <v>25</v>
      </c>
      <c r="C15" s="27" t="inlineStr">
        <is>
          <t>Source: supabase.com pricing, 2026</t>
        </is>
      </c>
    </row>
    <row r="16">
      <c r="A16" s="11" t="inlineStr">
        <is>
          <t>Accounting Software (Xero)</t>
        </is>
      </c>
      <c r="B16" s="28" t="n">
        <v>29</v>
      </c>
      <c r="C16" s="27" t="inlineStr">
        <is>
          <t>Source: xero.com.au, Starter plan</t>
        </is>
      </c>
    </row>
    <row r="17">
      <c r="A17" s="11" t="inlineStr">
        <is>
          <t>Insurance (amortised monthly)</t>
        </is>
      </c>
      <c r="B17" s="28" t="n">
        <v>125</v>
      </c>
      <c r="C17" s="27" t="inlineStr">
        <is>
          <t>$1,500/12. Conservative midpoint.</t>
        </is>
      </c>
    </row>
    <row r="18">
      <c r="A18" s="11" t="inlineStr">
        <is>
          <t>ASIC Annual Fee (amortised monthly)</t>
        </is>
      </c>
      <c r="B18" s="28" t="n">
        <v>48</v>
      </c>
      <c r="C18" s="27" t="inlineStr">
        <is>
          <t>$576/12</t>
        </is>
      </c>
    </row>
    <row r="19">
      <c r="A19" s="11" t="inlineStr">
        <is>
          <t>Domain Renewal (amortised monthly)</t>
        </is>
      </c>
      <c r="B19" s="28" t="n">
        <v>2</v>
      </c>
      <c r="C19" s="27" t="inlineStr">
        <is>
          <t>~$20/year</t>
        </is>
      </c>
    </row>
    <row r="20">
      <c r="A20" s="11" t="inlineStr">
        <is>
          <t>Email Service (Resend/Buttondown)</t>
        </is>
      </c>
      <c r="B20" s="28" t="n">
        <v>0</v>
      </c>
      <c r="C20" s="27" t="inlineStr">
        <is>
          <t>Free tier sufficient initially</t>
        </is>
      </c>
    </row>
    <row r="21">
      <c r="A21" s="11" t="inlineStr">
        <is>
          <t>Miscellaneous/Buffer</t>
        </is>
      </c>
      <c r="B21" s="28" t="n">
        <v>30</v>
      </c>
      <c r="C21" s="27" t="inlineStr">
        <is>
          <t>Contingency for minor costs</t>
        </is>
      </c>
    </row>
    <row r="22">
      <c r="A22" s="11" t="inlineStr">
        <is>
          <t>TOTAL MONTHLY FIXED COSTS</t>
        </is>
      </c>
      <c r="B22" s="29">
        <f>SUM(B14:B21)</f>
        <v/>
      </c>
      <c r="C22" s="27" t="inlineStr"/>
    </row>
    <row r="23">
      <c r="A23" s="11" t="inlineStr"/>
      <c r="C23" s="27" t="inlineStr"/>
    </row>
    <row r="24">
      <c r="A24" s="11" t="inlineStr">
        <is>
          <t>PRICING MODEL (Half-Competitor Rule — replaces flat 2× R5)</t>
        </is>
      </c>
      <c r="C24" s="27" t="inlineStr"/>
    </row>
    <row r="25">
      <c r="A25" s="11" t="inlineStr">
        <is>
          <t>Pricing principle</t>
        </is>
      </c>
      <c r="B25" s="28" t="inlineStr">
        <is>
          <t>½ × lowest competitor</t>
        </is>
      </c>
      <c r="C25" s="27" t="inlineStr">
        <is>
          <t>Half the lowest range price in each comparable category</t>
        </is>
      </c>
    </row>
    <row r="26">
      <c r="A26" s="11" t="inlineStr">
        <is>
          <t>Enrichment benchmark (Clearbit)</t>
        </is>
      </c>
      <c r="B26" s="28" t="inlineStr">
        <is>
          <t>$0.36/lookup</t>
        </is>
      </c>
      <c r="C26" s="27" t="inlineStr">
        <is>
          <t>Most skills priced at $0.18 = half Clearbit</t>
        </is>
      </c>
    </row>
    <row r="27">
      <c r="A27" s="11" t="inlineStr">
        <is>
          <t>Assessment benchmark (Crystal Knows)</t>
        </is>
      </c>
      <c r="B27" s="28" t="inlineStr">
        <is>
          <t>Est. $1-5/profile</t>
        </is>
      </c>
      <c r="C27" s="27" t="inlineStr">
        <is>
          <t>sage-diagnose, sage-profile at $0.50 = half of $1</t>
        </is>
      </c>
    </row>
    <row r="28">
      <c r="A28" s="11" t="inlineStr">
        <is>
          <t>Guardrail benchmark (Guardrails AI)</t>
        </is>
      </c>
      <c r="B28" s="28" t="inlineStr">
        <is>
          <t>$0.005/check</t>
        </is>
      </c>
      <c r="C28" s="27" t="inlineStr">
        <is>
          <t>sage-guard at $0.0025 = half of $0.005</t>
        </is>
      </c>
    </row>
    <row r="29">
      <c r="A29" s="11" t="inlineStr">
        <is>
          <t>R5 still satisfied?</t>
        </is>
      </c>
      <c r="B29" s="28" t="inlineStr">
        <is>
          <t>YES</t>
        </is>
      </c>
      <c r="C29" s="27" t="inlineStr">
        <is>
          <t>All prices exceed 2× LLM cost. Margins now 60-93% instead of flat 50%.</t>
        </is>
      </c>
    </row>
    <row r="30">
      <c r="A30" s="11" t="inlineStr">
        <is>
          <t>Avg margin % across product surface</t>
        </is>
      </c>
      <c r="B30" s="28" t="inlineStr">
        <is>
          <t>89.3%</t>
        </is>
      </c>
      <c r="C30" s="27" t="inlineStr">
        <is>
          <t>Weighted higher than old 50% due to pricing above minimum R5</t>
        </is>
      </c>
    </row>
    <row r="31">
      <c r="A31" s="11" t="inlineStr"/>
      <c r="C31" s="27" t="inlineStr"/>
    </row>
    <row r="32">
      <c r="A32" s="10" t="inlineStr">
        <is>
          <t>SUBSCRIPTION PRICING</t>
        </is>
      </c>
      <c r="C32" s="27" t="inlineStr"/>
    </row>
    <row r="33">
      <c r="A33" s="11" t="inlineStr">
        <is>
          <t>Prokoptos subscription (monthly)</t>
        </is>
      </c>
      <c r="B33" s="28" t="n">
        <v>7</v>
      </c>
      <c r="C33" s="27" t="inlineStr">
        <is>
          <t>$7/month or $60/year</t>
        </is>
      </c>
    </row>
    <row r="34">
      <c r="A34" s="11" t="inlineStr">
        <is>
          <t>Prokoptos subscription (annual)</t>
        </is>
      </c>
      <c r="B34" s="28" t="n">
        <v>60</v>
      </c>
      <c r="C34" s="27" t="inlineStr">
        <is>
          <t>Save $24 vs monthly</t>
        </is>
      </c>
    </row>
    <row r="35">
      <c r="A35" s="11" t="inlineStr">
        <is>
          <t>Stripe fee per transaction</t>
        </is>
      </c>
      <c r="B35" s="30">
        <f>B32-(0.0175*B32+0.30)</f>
        <v/>
      </c>
      <c r="C35" s="27" t="inlineStr">
        <is>
          <t>Source: stripe.com.au, 2026</t>
        </is>
      </c>
    </row>
    <row r="36">
      <c r="A36" s="11" t="inlineStr">
        <is>
          <t>Net revenue per Prokoptos sub (monthly, after Stripe)</t>
        </is>
      </c>
      <c r="C36" s="27" t="inlineStr"/>
    </row>
    <row r="37">
      <c r="A37" s="11" t="inlineStr"/>
      <c r="C37" s="27" t="inlineStr"/>
    </row>
    <row r="38">
      <c r="A38" s="10" t="inlineStr">
        <is>
          <t>CONVERSION &amp; GROWTH ASSUMPTIONS</t>
        </is>
      </c>
      <c r="C38" s="27" t="inlineStr"/>
    </row>
    <row r="39">
      <c r="A39" s="11" t="inlineStr">
        <is>
          <t>Free-to-Paid conversion (human Prokoptos)</t>
        </is>
      </c>
      <c r="B39" s="28" t="n">
        <v>0.05</v>
      </c>
      <c r="C39" s="27" t="inlineStr">
        <is>
          <t>5% conservative. Industry SaaS freemium: 2-5%. Niche = higher intent.</t>
        </is>
      </c>
    </row>
    <row r="40">
      <c r="A40" s="11" t="inlineStr">
        <is>
          <t>Agent free-to-paid conversion</t>
        </is>
      </c>
      <c r="B40" s="28" t="n">
        <v>0.08</v>
      </c>
      <c r="C40" s="27" t="inlineStr">
        <is>
          <t>8%. Free foundational check → CTA → upgrade.</t>
        </is>
      </c>
    </row>
    <row r="41">
      <c r="A41" s="11" t="inlineStr">
        <is>
          <t>Monthly human user growth rate</t>
        </is>
      </c>
      <c r="B41" s="28" t="inlineStr">
        <is>
          <t>30-50%</t>
        </is>
      </c>
      <c r="C41" s="27" t="inlineStr">
        <is>
          <t>Slowing: 150% M1, tapering to 17% by M12.</t>
        </is>
      </c>
    </row>
    <row r="42">
      <c r="A42" s="11" t="inlineStr">
        <is>
          <t>Monthly agent developer growth rate</t>
        </is>
      </c>
      <c r="B42" s="28" t="inlineStr">
        <is>
          <t>20-40%</t>
        </is>
      </c>
      <c r="C42" s="27" t="inlineStr">
        <is>
          <t>MCP registry discovery, API directories.</t>
        </is>
      </c>
    </row>
    <row r="43">
      <c r="A43" s="11" t="inlineStr">
        <is>
          <t>Patron contribution rate (free users)</t>
        </is>
      </c>
      <c r="B43" s="28" t="n">
        <v>0.005</v>
      </c>
      <c r="C43" s="27" t="inlineStr">
        <is>
          <t>0.5% of free users contribute ~$3/mo avg</t>
        </is>
      </c>
    </row>
    <row r="44">
      <c r="A44" s="11" t="inlineStr"/>
      <c r="C44" s="27" t="inlineStr"/>
    </row>
    <row r="45">
      <c r="A45" s="11" t="inlineStr">
        <is>
          <t>AGENT MIX ASSUMPTIONS (Month 12 Base Case)</t>
        </is>
      </c>
      <c r="C45" s="27" t="inlineStr"/>
    </row>
    <row r="46">
      <c r="A46" s="11" t="inlineStr">
        <is>
          <t>Reasoning Guard agents (paid)</t>
        </is>
      </c>
      <c r="B46" s="28" t="n">
        <v>3</v>
      </c>
      <c r="C46" s="27" t="inlineStr">
        <is>
          <t>High-volume gate pattern.</t>
        </is>
      </c>
    </row>
    <row r="47">
      <c r="A47" s="11" t="inlineStr">
        <is>
          <t>Decision Support agents (paid)</t>
        </is>
      </c>
      <c r="B47" s="28" t="n">
        <v>8</v>
      </c>
      <c r="C47" s="27" t="inlineStr">
        <is>
          <t>Standard agent. Broadest skill mix.</t>
        </is>
      </c>
    </row>
    <row r="48">
      <c r="A48" s="11" t="inlineStr">
        <is>
          <t>Compliance agents (paid)</t>
        </is>
      </c>
      <c r="B48" s="28" t="n">
        <v>3</v>
      </c>
      <c r="C48" s="27" t="inlineStr">
        <is>
          <t>Enterprise focus. High-value per agent.</t>
        </is>
      </c>
    </row>
    <row r="49">
      <c r="A49" s="11" t="inlineStr">
        <is>
          <t>Personal Coach agents (paid)</t>
        </is>
      </c>
      <c r="B49" s="15">
        <f>SUM(B44:B48)</f>
        <v/>
      </c>
      <c r="C49" s="27" t="inlineStr">
        <is>
          <t>Consumer apps. Growing segment.</t>
        </is>
      </c>
    </row>
    <row r="50">
      <c r="A50" s="11" t="inlineStr">
        <is>
          <t>Full-Stack agents (paid)</t>
        </is>
      </c>
      <c r="B50" s="28" t="n">
        <v>5</v>
      </c>
      <c r="C50" s="27" t="inlineStr">
        <is>
          <t>Power users. Broadest coverage.</t>
        </is>
      </c>
    </row>
    <row r="51">
      <c r="A51" s="11" t="inlineStr">
        <is>
          <t>TOTAL PAID AGENTS (Month 12)</t>
        </is>
      </c>
      <c r="C51" s="27" t="inlineStr"/>
    </row>
    <row r="52">
      <c r="A52" s="11" t="inlineStr"/>
      <c r="C52" s="27" t="inlineStr"/>
    </row>
    <row r="53">
      <c r="A53" s="11" t="inlineStr">
        <is>
          <t>MYTHOS SCENARIO (Est. Q3-Q4 2026)</t>
        </is>
      </c>
      <c r="C53" s="27" t="inlineStr"/>
    </row>
    <row r="54">
      <c r="A54" s="11" t="inlineStr">
        <is>
          <t>Mythos multiplier on LLM costs</t>
        </is>
      </c>
      <c r="B54" s="28" t="n">
        <v>2.08</v>
      </c>
      <c r="C54" s="27" t="inlineStr">
        <is>
          <t>Estimated ~$0.025/call vs current ~$0.012. Ratio = 2.08×</t>
        </is>
      </c>
    </row>
    <row r="55">
      <c r="A55" s="11" t="inlineStr">
        <is>
          <t>Impact on customer prices</t>
        </is>
      </c>
      <c r="B55" s="28" t="inlineStr">
        <is>
          <t>LLM cost increases; half-competitor pricing stays</t>
        </is>
      </c>
      <c r="C55" s="27" t="inlineStr">
        <is>
          <t>Half-competitor rule is independent of underlying LLM cost. If LLM costs rise but competitor prices don't, margin compresses.</t>
        </is>
      </c>
    </row>
    <row r="56">
      <c r="A56" s="11" t="inlineStr">
        <is>
          <t>Impact on margin percentage</t>
        </is>
      </c>
      <c r="B56" s="28" t="inlineStr">
        <is>
          <t>Decreases modestly</t>
        </is>
      </c>
      <c r="C56" s="27" t="inlineStr">
        <is>
          <t>Half-competitor price stays at $0.18; LLM cost rises. Margin drops but stays well above R5 minimum.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3" t="n"/>
      <c r="B1" s="3" t="inlineStr">
        <is>
          <t>Month 1</t>
        </is>
      </c>
      <c r="C1" s="3" t="inlineStr">
        <is>
          <t>Month 2</t>
        </is>
      </c>
      <c r="D1" s="3" t="inlineStr">
        <is>
          <t>Month 3</t>
        </is>
      </c>
      <c r="E1" s="3" t="inlineStr">
        <is>
          <t>Month 4</t>
        </is>
      </c>
      <c r="F1" s="3" t="inlineStr">
        <is>
          <t>Month 5</t>
        </is>
      </c>
      <c r="G1" s="3" t="inlineStr">
        <is>
          <t>Month 6</t>
        </is>
      </c>
      <c r="H1" s="3" t="inlineStr">
        <is>
          <t>Month 7</t>
        </is>
      </c>
      <c r="I1" s="3" t="inlineStr">
        <is>
          <t>Month 8</t>
        </is>
      </c>
      <c r="J1" s="3" t="inlineStr">
        <is>
          <t>Month 9</t>
        </is>
      </c>
      <c r="K1" s="3" t="inlineStr">
        <is>
          <t>Month 10</t>
        </is>
      </c>
      <c r="L1" s="3" t="inlineStr">
        <is>
          <t>Month 11</t>
        </is>
      </c>
      <c r="M1" s="3" t="inlineStr">
        <is>
          <t>Month 12</t>
        </is>
      </c>
      <c r="N1" s="3" t="inlineStr">
        <is>
          <t>TOTAL</t>
        </is>
      </c>
    </row>
    <row r="3">
      <c r="A3" s="10" t="inlineStr">
        <is>
          <t>USER GROWTH (Cumulative)</t>
        </is>
      </c>
    </row>
    <row r="4">
      <c r="A4" s="11" t="inlineStr">
        <is>
          <t>Registered Human Users</t>
        </is>
      </c>
      <c r="B4" s="31" t="n">
        <v>20</v>
      </c>
      <c r="C4" s="31" t="n">
        <v>50</v>
      </c>
      <c r="D4" s="31" t="n">
        <v>100</v>
      </c>
      <c r="E4" s="31" t="n">
        <v>170</v>
      </c>
      <c r="F4" s="31" t="n">
        <v>260</v>
      </c>
      <c r="G4" s="31" t="n">
        <v>370</v>
      </c>
      <c r="H4" s="31" t="n">
        <v>500</v>
      </c>
      <c r="I4" s="31" t="n">
        <v>650</v>
      </c>
      <c r="J4" s="31" t="n">
        <v>820</v>
      </c>
      <c r="K4" s="31" t="n">
        <v>1000</v>
      </c>
      <c r="L4" s="31" t="n">
        <v>1200</v>
      </c>
      <c r="M4" s="31" t="n">
        <v>1400</v>
      </c>
    </row>
    <row r="5">
      <c r="A5" s="11" t="inlineStr">
        <is>
          <t>Agent Developers Registered</t>
        </is>
      </c>
      <c r="B5" s="31" t="n">
        <v>5</v>
      </c>
      <c r="C5" s="31" t="n">
        <v>12</v>
      </c>
      <c r="D5" s="31" t="n">
        <v>25</v>
      </c>
      <c r="E5" s="31" t="n">
        <v>40</v>
      </c>
      <c r="F5" s="31" t="n">
        <v>60</v>
      </c>
      <c r="G5" s="31" t="n">
        <v>85</v>
      </c>
      <c r="H5" s="31" t="n">
        <v>115</v>
      </c>
      <c r="I5" s="31" t="n">
        <v>150</v>
      </c>
      <c r="J5" s="31" t="n">
        <v>190</v>
      </c>
      <c r="K5" s="31" t="n">
        <v>235</v>
      </c>
      <c r="L5" s="31" t="n">
        <v>285</v>
      </c>
      <c r="M5" s="31" t="n">
        <v>340</v>
      </c>
    </row>
    <row r="7">
      <c r="A7" s="10" t="inlineStr">
        <is>
          <t>PAID AGENTS BY TYPE</t>
        </is>
      </c>
    </row>
    <row r="8">
      <c r="A8" s="11" t="inlineStr">
        <is>
          <t>Reasoning Guard agents</t>
        </is>
      </c>
      <c r="B8" s="31" t="n">
        <v>0</v>
      </c>
      <c r="C8" s="31" t="n">
        <v>0</v>
      </c>
      <c r="D8" s="31" t="n">
        <v>0</v>
      </c>
      <c r="E8" s="31" t="n">
        <v>1</v>
      </c>
      <c r="F8" s="31" t="n">
        <v>1</v>
      </c>
      <c r="G8" s="31" t="n">
        <v>1</v>
      </c>
      <c r="H8" s="31" t="n">
        <v>2</v>
      </c>
      <c r="I8" s="31" t="n">
        <v>2</v>
      </c>
      <c r="J8" s="31" t="n">
        <v>2</v>
      </c>
      <c r="K8" s="31" t="n">
        <v>3</v>
      </c>
      <c r="L8" s="31" t="n">
        <v>3</v>
      </c>
      <c r="M8" s="31" t="n">
        <v>3</v>
      </c>
    </row>
    <row r="9">
      <c r="A9" s="11" t="inlineStr">
        <is>
          <t>Decision Support agents</t>
        </is>
      </c>
      <c r="B9" s="31" t="n">
        <v>0</v>
      </c>
      <c r="C9" s="31" t="n">
        <v>0</v>
      </c>
      <c r="D9" s="31" t="n">
        <v>1</v>
      </c>
      <c r="E9" s="31" t="n">
        <v>1</v>
      </c>
      <c r="F9" s="31" t="n">
        <v>2</v>
      </c>
      <c r="G9" s="31" t="n">
        <v>3</v>
      </c>
      <c r="H9" s="31" t="n">
        <v>4</v>
      </c>
      <c r="I9" s="31" t="n">
        <v>5</v>
      </c>
      <c r="J9" s="31" t="n">
        <v>6</v>
      </c>
      <c r="K9" s="31" t="n">
        <v>7</v>
      </c>
      <c r="L9" s="31" t="n">
        <v>7</v>
      </c>
      <c r="M9" s="31" t="n">
        <v>8</v>
      </c>
    </row>
    <row r="10">
      <c r="A10" s="11" t="inlineStr">
        <is>
          <t>Compliance agents</t>
        </is>
      </c>
      <c r="B10" s="31" t="n">
        <v>0</v>
      </c>
      <c r="C10" s="31" t="n">
        <v>0</v>
      </c>
      <c r="D10" s="31" t="n">
        <v>0</v>
      </c>
      <c r="E10" s="31" t="n">
        <v>0</v>
      </c>
      <c r="F10" s="31" t="n">
        <v>0</v>
      </c>
      <c r="G10" s="31" t="n">
        <v>1</v>
      </c>
      <c r="H10" s="31" t="n">
        <v>1</v>
      </c>
      <c r="I10" s="31" t="n">
        <v>1</v>
      </c>
      <c r="J10" s="31" t="n">
        <v>2</v>
      </c>
      <c r="K10" s="31" t="n">
        <v>2</v>
      </c>
      <c r="L10" s="31" t="n">
        <v>3</v>
      </c>
      <c r="M10" s="31" t="n">
        <v>3</v>
      </c>
    </row>
    <row r="11">
      <c r="A11" s="11" t="inlineStr">
        <is>
          <t>Personal Coach agents</t>
        </is>
      </c>
      <c r="B11" s="31" t="n">
        <v>0</v>
      </c>
      <c r="C11" s="31" t="n">
        <v>0</v>
      </c>
      <c r="D11" s="31" t="n">
        <v>0</v>
      </c>
      <c r="E11" s="31" t="n">
        <v>1</v>
      </c>
      <c r="F11" s="31" t="n">
        <v>1</v>
      </c>
      <c r="G11" s="31" t="n">
        <v>2</v>
      </c>
      <c r="H11" s="31" t="n">
        <v>2</v>
      </c>
      <c r="I11" s="31" t="n">
        <v>3</v>
      </c>
      <c r="J11" s="31" t="n">
        <v>4</v>
      </c>
      <c r="K11" s="31" t="n">
        <v>4</v>
      </c>
      <c r="L11" s="31" t="n">
        <v>5</v>
      </c>
      <c r="M11" s="31" t="n">
        <v>6</v>
      </c>
    </row>
    <row r="12">
      <c r="A12" s="11" t="inlineStr">
        <is>
          <t>Full-Stack agents</t>
        </is>
      </c>
      <c r="B12" s="31" t="n">
        <v>0</v>
      </c>
      <c r="C12" s="31" t="n">
        <v>0</v>
      </c>
      <c r="D12" s="31" t="n">
        <v>0</v>
      </c>
      <c r="E12" s="31" t="n">
        <v>0</v>
      </c>
      <c r="F12" s="31" t="n">
        <v>1</v>
      </c>
      <c r="G12" s="31" t="n">
        <v>1</v>
      </c>
      <c r="H12" s="31" t="n">
        <v>2</v>
      </c>
      <c r="I12" s="31" t="n">
        <v>2</v>
      </c>
      <c r="J12" s="31" t="n">
        <v>3</v>
      </c>
      <c r="K12" s="31" t="n">
        <v>3</v>
      </c>
      <c r="L12" s="31" t="n">
        <v>4</v>
      </c>
      <c r="M12" s="31" t="n">
        <v>5</v>
      </c>
    </row>
    <row r="13">
      <c r="A13" s="15" t="inlineStr">
        <is>
          <t>Total Paid Agents</t>
        </is>
      </c>
      <c r="B13" s="32">
        <f>SUM(B8:B12)</f>
        <v/>
      </c>
      <c r="C13" s="32">
        <f>SUM(C8:C12)</f>
        <v/>
      </c>
      <c r="D13" s="32">
        <f>SUM(D8:D12)</f>
        <v/>
      </c>
      <c r="E13" s="32">
        <f>SUM(E8:E12)</f>
        <v/>
      </c>
      <c r="F13" s="32">
        <f>SUM(F8:F12)</f>
        <v/>
      </c>
      <c r="G13" s="32">
        <f>SUM(G8:G12)</f>
        <v/>
      </c>
      <c r="H13" s="32">
        <f>SUM(H8:H12)</f>
        <v/>
      </c>
      <c r="I13" s="32">
        <f>SUM(I8:I12)</f>
        <v/>
      </c>
      <c r="J13" s="32">
        <f>SUM(J8:J12)</f>
        <v/>
      </c>
      <c r="K13" s="32">
        <f>SUM(K8:K12)</f>
        <v/>
      </c>
      <c r="L13" s="32">
        <f>SUM(L8:L12)</f>
        <v/>
      </c>
      <c r="M13" s="32">
        <f>SUM(M8:M12)</f>
        <v/>
      </c>
    </row>
    <row r="14">
      <c r="A14" s="11" t="inlineStr">
        <is>
          <t>Prokoptos Subscribers (5% of humans)</t>
        </is>
      </c>
      <c r="B14" s="33">
        <f>B4*0.05</f>
        <v/>
      </c>
      <c r="C14" s="33">
        <f>C4*0.05</f>
        <v/>
      </c>
      <c r="D14" s="33">
        <f>D4*0.05</f>
        <v/>
      </c>
      <c r="E14" s="33">
        <f>E4*0.05</f>
        <v/>
      </c>
      <c r="F14" s="33">
        <f>F4*0.05</f>
        <v/>
      </c>
      <c r="G14" s="33">
        <f>G4*0.05</f>
        <v/>
      </c>
      <c r="H14" s="33">
        <f>H4*0.05</f>
        <v/>
      </c>
      <c r="I14" s="33">
        <f>I4*0.05</f>
        <v/>
      </c>
      <c r="J14" s="33">
        <f>J4*0.05</f>
        <v/>
      </c>
      <c r="K14" s="33">
        <f>K4*0.05</f>
        <v/>
      </c>
      <c r="L14" s="33">
        <f>L4*0.05</f>
        <v/>
      </c>
      <c r="M14" s="33">
        <f>M4*0.05</f>
        <v/>
      </c>
    </row>
    <row r="16">
      <c r="A16" s="10" t="inlineStr">
        <is>
          <t>REVENUE</t>
        </is>
      </c>
    </row>
    <row r="17">
      <c r="A17" s="11" t="inlineStr">
        <is>
          <t>Prokoptos Subscription Revenue</t>
        </is>
      </c>
      <c r="B17" s="34">
        <f>ROUND(B14,0)*Assumptions!B32</f>
        <v/>
      </c>
      <c r="C17" s="34">
        <f>ROUND(C14,0)*Assumptions!B32</f>
        <v/>
      </c>
      <c r="D17" s="34">
        <f>ROUND(D14,0)*Assumptions!B32</f>
        <v/>
      </c>
      <c r="E17" s="34">
        <f>ROUND(E14,0)*Assumptions!B32</f>
        <v/>
      </c>
      <c r="F17" s="34">
        <f>ROUND(F14,0)*Assumptions!B32</f>
        <v/>
      </c>
      <c r="G17" s="34">
        <f>ROUND(G14,0)*Assumptions!B32</f>
        <v/>
      </c>
      <c r="H17" s="34">
        <f>ROUND(H14,0)*Assumptions!B32</f>
        <v/>
      </c>
      <c r="I17" s="34">
        <f>ROUND(I14,0)*Assumptions!B32</f>
        <v/>
      </c>
      <c r="J17" s="34">
        <f>ROUND(J14,0)*Assumptions!B32</f>
        <v/>
      </c>
      <c r="K17" s="34">
        <f>ROUND(K14,0)*Assumptions!B32</f>
        <v/>
      </c>
      <c r="L17" s="34">
        <f>ROUND(L14,0)*Assumptions!B32</f>
        <v/>
      </c>
      <c r="M17" s="34">
        <f>ROUND(M14,0)*Assumptions!B32</f>
        <v/>
      </c>
    </row>
    <row r="18">
      <c r="A18" s="11" t="inlineStr">
        <is>
          <t>Guard API Revenue ($120.50/agent/mo)</t>
        </is>
      </c>
      <c r="B18" s="34">
        <f>B8*120.5</f>
        <v/>
      </c>
      <c r="C18" s="34">
        <f>C8*120.5</f>
        <v/>
      </c>
      <c r="D18" s="34">
        <f>D8*120.5</f>
        <v/>
      </c>
      <c r="E18" s="34">
        <f>E8*120.5</f>
        <v/>
      </c>
      <c r="F18" s="34">
        <f>F8*120.5</f>
        <v/>
      </c>
      <c r="G18" s="34">
        <f>G8*120.5</f>
        <v/>
      </c>
      <c r="H18" s="34">
        <f>H8*120.5</f>
        <v/>
      </c>
      <c r="I18" s="34">
        <f>I8*120.5</f>
        <v/>
      </c>
      <c r="J18" s="34">
        <f>J8*120.5</f>
        <v/>
      </c>
      <c r="K18" s="34">
        <f>K8*120.5</f>
        <v/>
      </c>
      <c r="L18" s="34">
        <f>L8*120.5</f>
        <v/>
      </c>
      <c r="M18" s="34">
        <f>M8*120.5</f>
        <v/>
      </c>
    </row>
    <row r="19">
      <c r="A19" s="11" t="inlineStr">
        <is>
          <t>Decision Support API Revenue ($384.90/agent/mo)</t>
        </is>
      </c>
      <c r="B19" s="34">
        <f>B9*384.9</f>
        <v/>
      </c>
      <c r="C19" s="34">
        <f>C9*384.9</f>
        <v/>
      </c>
      <c r="D19" s="34">
        <f>D9*384.9</f>
        <v/>
      </c>
      <c r="E19" s="34">
        <f>E9*384.9</f>
        <v/>
      </c>
      <c r="F19" s="34">
        <f>F9*384.9</f>
        <v/>
      </c>
      <c r="G19" s="34">
        <f>G9*384.9</f>
        <v/>
      </c>
      <c r="H19" s="34">
        <f>H9*384.9</f>
        <v/>
      </c>
      <c r="I19" s="34">
        <f>I9*384.9</f>
        <v/>
      </c>
      <c r="J19" s="34">
        <f>J9*384.9</f>
        <v/>
      </c>
      <c r="K19" s="34">
        <f>K9*384.9</f>
        <v/>
      </c>
      <c r="L19" s="34">
        <f>L9*384.9</f>
        <v/>
      </c>
      <c r="M19" s="34">
        <f>M9*384.9</f>
        <v/>
      </c>
    </row>
    <row r="20">
      <c r="A20" s="11" t="inlineStr">
        <is>
          <t>Compliance API Revenue ($438.30/agent/mo)</t>
        </is>
      </c>
      <c r="B20" s="34">
        <f>B10*438.3</f>
        <v/>
      </c>
      <c r="C20" s="34">
        <f>C10*438.3</f>
        <v/>
      </c>
      <c r="D20" s="34">
        <f>D10*438.3</f>
        <v/>
      </c>
      <c r="E20" s="34">
        <f>E10*438.3</f>
        <v/>
      </c>
      <c r="F20" s="34">
        <f>F10*438.3</f>
        <v/>
      </c>
      <c r="G20" s="34">
        <f>G10*438.3</f>
        <v/>
      </c>
      <c r="H20" s="34">
        <f>H10*438.3</f>
        <v/>
      </c>
      <c r="I20" s="34">
        <f>I10*438.3</f>
        <v/>
      </c>
      <c r="J20" s="34">
        <f>J10*438.3</f>
        <v/>
      </c>
      <c r="K20" s="34">
        <f>K10*438.3</f>
        <v/>
      </c>
      <c r="L20" s="34">
        <f>L10*438.3</f>
        <v/>
      </c>
      <c r="M20" s="34">
        <f>M10*438.3</f>
        <v/>
      </c>
    </row>
    <row r="21">
      <c r="A21" s="11" t="inlineStr">
        <is>
          <t>Coach API Revenue ($334.85/agent/mo)</t>
        </is>
      </c>
      <c r="B21" s="34">
        <f>B11*334.85</f>
        <v/>
      </c>
      <c r="C21" s="34">
        <f>C11*334.85</f>
        <v/>
      </c>
      <c r="D21" s="34">
        <f>D11*334.85</f>
        <v/>
      </c>
      <c r="E21" s="34">
        <f>E11*334.85</f>
        <v/>
      </c>
      <c r="F21" s="34">
        <f>F11*334.85</f>
        <v/>
      </c>
      <c r="G21" s="34">
        <f>G11*334.85</f>
        <v/>
      </c>
      <c r="H21" s="34">
        <f>H11*334.85</f>
        <v/>
      </c>
      <c r="I21" s="34">
        <f>I11*334.85</f>
        <v/>
      </c>
      <c r="J21" s="34">
        <f>J11*334.85</f>
        <v/>
      </c>
      <c r="K21" s="34">
        <f>K11*334.85</f>
        <v/>
      </c>
      <c r="L21" s="34">
        <f>L11*334.85</f>
        <v/>
      </c>
      <c r="M21" s="34">
        <f>M11*334.85</f>
        <v/>
      </c>
    </row>
    <row r="22">
      <c r="A22" s="11" t="inlineStr">
        <is>
          <t>Full-Stack API Revenue ($470.55/agent/mo)</t>
        </is>
      </c>
      <c r="B22" s="34">
        <f>B12*470.55</f>
        <v/>
      </c>
      <c r="C22" s="34">
        <f>C12*470.55</f>
        <v/>
      </c>
      <c r="D22" s="34">
        <f>D12*470.55</f>
        <v/>
      </c>
      <c r="E22" s="34">
        <f>E12*470.55</f>
        <v/>
      </c>
      <c r="F22" s="34">
        <f>F12*470.55</f>
        <v/>
      </c>
      <c r="G22" s="34">
        <f>G12*470.55</f>
        <v/>
      </c>
      <c r="H22" s="34">
        <f>H12*470.55</f>
        <v/>
      </c>
      <c r="I22" s="34">
        <f>I12*470.55</f>
        <v/>
      </c>
      <c r="J22" s="34">
        <f>J12*470.55</f>
        <v/>
      </c>
      <c r="K22" s="34">
        <f>K12*470.55</f>
        <v/>
      </c>
      <c r="L22" s="34">
        <f>L12*470.55</f>
        <v/>
      </c>
      <c r="M22" s="34">
        <f>M12*470.55</f>
        <v/>
      </c>
    </row>
    <row r="23">
      <c r="A23" s="11" t="inlineStr">
        <is>
          <t>Human Free-Tier Scoring Revenue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34" t="n">
        <v>0</v>
      </c>
      <c r="I23" s="34" t="n">
        <v>0</v>
      </c>
      <c r="J23" s="34" t="n">
        <v>0</v>
      </c>
      <c r="K23" s="34" t="n">
        <v>0</v>
      </c>
      <c r="L23" s="34" t="n">
        <v>0</v>
      </c>
      <c r="M23" s="34" t="n">
        <v>0</v>
      </c>
    </row>
    <row r="24">
      <c r="A24" s="11" t="inlineStr">
        <is>
          <t>Patronage Revenue</t>
        </is>
      </c>
      <c r="B24" s="35" t="n">
        <v>1</v>
      </c>
      <c r="C24" s="35" t="n">
        <v>2</v>
      </c>
      <c r="D24" s="35" t="n">
        <v>3</v>
      </c>
      <c r="E24" s="35" t="n">
        <v>5</v>
      </c>
      <c r="F24" s="35" t="n">
        <v>8</v>
      </c>
      <c r="G24" s="35" t="n">
        <v>11</v>
      </c>
      <c r="H24" s="35" t="n">
        <v>15</v>
      </c>
      <c r="I24" s="35" t="n">
        <v>20</v>
      </c>
      <c r="J24" s="35" t="n">
        <v>25</v>
      </c>
      <c r="K24" s="35" t="n">
        <v>30</v>
      </c>
      <c r="L24" s="35" t="n">
        <v>36</v>
      </c>
      <c r="M24" s="35" t="n">
        <v>42</v>
      </c>
    </row>
    <row r="25">
      <c r="A25" s="11" t="inlineStr">
        <is>
          <t>Badges / Accessories (net)</t>
        </is>
      </c>
      <c r="B25" s="35" t="n">
        <v>0</v>
      </c>
      <c r="C25" s="35" t="n">
        <v>0</v>
      </c>
      <c r="D25" s="35" t="n">
        <v>0</v>
      </c>
      <c r="E25" s="35" t="n">
        <v>45</v>
      </c>
      <c r="F25" s="35" t="n">
        <v>60</v>
      </c>
      <c r="G25" s="35" t="n">
        <v>80</v>
      </c>
      <c r="H25" s="35" t="n">
        <v>100</v>
      </c>
      <c r="I25" s="35" t="n">
        <v>120</v>
      </c>
      <c r="J25" s="35" t="n">
        <v>140</v>
      </c>
      <c r="K25" s="35" t="n">
        <v>150</v>
      </c>
      <c r="L25" s="35" t="n">
        <v>160</v>
      </c>
      <c r="M25" s="35" t="n">
        <v>180</v>
      </c>
    </row>
    <row r="26">
      <c r="A26" s="11" t="inlineStr">
        <is>
          <t>Enterprise Licensing</t>
        </is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500</v>
      </c>
      <c r="K26" s="35" t="n">
        <v>500</v>
      </c>
      <c r="L26" s="35" t="n">
        <v>500</v>
      </c>
      <c r="M26" s="35" t="n">
        <v>500</v>
      </c>
    </row>
    <row r="27">
      <c r="A27" s="36" t="inlineStr">
        <is>
          <t>TOTAL MONTHLY REVENUE</t>
        </is>
      </c>
      <c r="B27" s="37">
        <f>SUM(B17:B26)</f>
        <v/>
      </c>
      <c r="C27" s="37">
        <f>SUM(C17:C26)</f>
        <v/>
      </c>
      <c r="D27" s="37">
        <f>SUM(D17:D26)</f>
        <v/>
      </c>
      <c r="E27" s="37">
        <f>SUM(E17:E26)</f>
        <v/>
      </c>
      <c r="F27" s="37">
        <f>SUM(F17:F26)</f>
        <v/>
      </c>
      <c r="G27" s="37">
        <f>SUM(G17:G26)</f>
        <v/>
      </c>
      <c r="H27" s="37">
        <f>SUM(H17:H26)</f>
        <v/>
      </c>
      <c r="I27" s="37">
        <f>SUM(I17:I26)</f>
        <v/>
      </c>
      <c r="J27" s="37">
        <f>SUM(J17:J26)</f>
        <v/>
      </c>
      <c r="K27" s="37">
        <f>SUM(K17:K26)</f>
        <v/>
      </c>
      <c r="L27" s="37">
        <f>SUM(L17:L26)</f>
        <v/>
      </c>
      <c r="M27" s="37">
        <f>SUM(M17:M26)</f>
        <v/>
      </c>
      <c r="N27" s="29">
        <f>SUM(B27:M27)</f>
        <v/>
      </c>
    </row>
    <row r="29">
      <c r="A29" s="10" t="inlineStr">
        <is>
          <t>COSTS</t>
        </is>
      </c>
    </row>
    <row r="30">
      <c r="A30" s="11" t="inlineStr">
        <is>
          <t>Monthly Fixed Costs</t>
        </is>
      </c>
      <c r="B30" s="38">
        <f>Assumptions!B22</f>
        <v/>
      </c>
      <c r="C30" s="38">
        <f>Assumptions!B22</f>
        <v/>
      </c>
      <c r="D30" s="38">
        <f>Assumptions!B22</f>
        <v/>
      </c>
      <c r="E30" s="38">
        <f>Assumptions!B22</f>
        <v/>
      </c>
      <c r="F30" s="38">
        <f>Assumptions!B22</f>
        <v/>
      </c>
      <c r="G30" s="38">
        <f>Assumptions!B22</f>
        <v/>
      </c>
      <c r="H30" s="38">
        <f>Assumptions!B22</f>
        <v/>
      </c>
      <c r="I30" s="38">
        <f>Assumptions!B22</f>
        <v/>
      </c>
      <c r="J30" s="38">
        <f>Assumptions!B22</f>
        <v/>
      </c>
      <c r="K30" s="38">
        <f>Assumptions!B22</f>
        <v/>
      </c>
      <c r="L30" s="38">
        <f>Assumptions!B22</f>
        <v/>
      </c>
      <c r="M30" s="38">
        <f>Assumptions!B22</f>
        <v/>
      </c>
    </row>
    <row r="31">
      <c r="A31" s="11" t="inlineStr">
        <is>
          <t>LLM API Costs — Paid Agents (actual LLM cost)</t>
        </is>
      </c>
      <c r="B31" s="34">
        <f>B8*12.4+B9*37.47+B10*43.81+B11*33.99+B12*46.62</f>
        <v/>
      </c>
      <c r="C31" s="34">
        <f>C8*12.4+C9*37.47+C10*43.81+C11*33.99+C12*46.62</f>
        <v/>
      </c>
      <c r="D31" s="34">
        <f>D8*12.4+D9*37.47+D10*43.81+D11*33.99+D12*46.62</f>
        <v/>
      </c>
      <c r="E31" s="34">
        <f>E8*12.4+E9*37.47+E10*43.81+E11*33.99+E12*46.62</f>
        <v/>
      </c>
      <c r="F31" s="34">
        <f>F8*12.4+F9*37.47+F10*43.81+F11*33.99+F12*46.62</f>
        <v/>
      </c>
      <c r="G31" s="34">
        <f>G8*12.4+G9*37.47+G10*43.81+G11*33.99+G12*46.62</f>
        <v/>
      </c>
      <c r="H31" s="34">
        <f>H8*12.4+H9*37.47+H10*43.81+H11*33.99+H12*46.62</f>
        <v/>
      </c>
      <c r="I31" s="34">
        <f>I8*12.4+I9*37.47+I10*43.81+I11*33.99+I12*46.62</f>
        <v/>
      </c>
      <c r="J31" s="34">
        <f>J8*12.4+J9*37.47+J10*43.81+J11*33.99+J12*46.62</f>
        <v/>
      </c>
      <c r="K31" s="34">
        <f>K8*12.4+K9*37.47+K10*43.81+K11*33.99+K12*46.62</f>
        <v/>
      </c>
      <c r="L31" s="34">
        <f>L8*12.4+L9*37.47+L10*43.81+L11*33.99+L12*46.62</f>
        <v/>
      </c>
      <c r="M31" s="34">
        <f>M8*12.4+M9*37.47+M10*43.81+M11*33.99+M12*46.62</f>
        <v/>
      </c>
    </row>
    <row r="32">
      <c r="A32" s="11" t="inlineStr">
        <is>
          <t>API Costs — Free Tier (human + free agents)</t>
        </is>
      </c>
      <c r="B32" s="35" t="n">
        <v>15</v>
      </c>
      <c r="C32" s="35" t="n">
        <v>20</v>
      </c>
      <c r="D32" s="35" t="n">
        <v>30</v>
      </c>
      <c r="E32" s="35" t="n">
        <v>40</v>
      </c>
      <c r="F32" s="35" t="n">
        <v>50</v>
      </c>
      <c r="G32" s="35" t="n">
        <v>60</v>
      </c>
      <c r="H32" s="35" t="n">
        <v>70</v>
      </c>
      <c r="I32" s="35" t="n">
        <v>80</v>
      </c>
      <c r="J32" s="35" t="n">
        <v>90</v>
      </c>
      <c r="K32" s="35" t="n">
        <v>100</v>
      </c>
      <c r="L32" s="35" t="n">
        <v>110</v>
      </c>
      <c r="M32" s="35" t="n">
        <v>120</v>
      </c>
    </row>
    <row r="33">
      <c r="A33" s="11" t="inlineStr">
        <is>
          <t>Stripe Transaction Fees (~2%)</t>
        </is>
      </c>
      <c r="B33" s="34">
        <f>B27*0.02</f>
        <v/>
      </c>
      <c r="C33" s="34">
        <f>C27*0.02</f>
        <v/>
      </c>
      <c r="D33" s="34">
        <f>D27*0.02</f>
        <v/>
      </c>
      <c r="E33" s="34">
        <f>E27*0.02</f>
        <v/>
      </c>
      <c r="F33" s="34">
        <f>F27*0.02</f>
        <v/>
      </c>
      <c r="G33" s="34">
        <f>G27*0.02</f>
        <v/>
      </c>
      <c r="H33" s="34">
        <f>H27*0.02</f>
        <v/>
      </c>
      <c r="I33" s="34">
        <f>I27*0.02</f>
        <v/>
      </c>
      <c r="J33" s="34">
        <f>J27*0.02</f>
        <v/>
      </c>
      <c r="K33" s="34">
        <f>K27*0.02</f>
        <v/>
      </c>
      <c r="L33" s="34">
        <f>L27*0.02</f>
        <v/>
      </c>
      <c r="M33" s="34">
        <f>M27*0.02</f>
        <v/>
      </c>
    </row>
    <row r="34">
      <c r="A34" s="39" t="inlineStr">
        <is>
          <t>TOTAL MONTHLY COSTS</t>
        </is>
      </c>
      <c r="B34" s="40">
        <f>B30+B31+B32+B33</f>
        <v/>
      </c>
      <c r="C34" s="40">
        <f>C30+C31+C32+C33</f>
        <v/>
      </c>
      <c r="D34" s="40">
        <f>D30+D31+D32+D33</f>
        <v/>
      </c>
      <c r="E34" s="40">
        <f>E30+E31+E32+E33</f>
        <v/>
      </c>
      <c r="F34" s="40">
        <f>F30+F31+F32+F33</f>
        <v/>
      </c>
      <c r="G34" s="40">
        <f>G30+G31+G32+G33</f>
        <v/>
      </c>
      <c r="H34" s="40">
        <f>H30+H31+H32+H33</f>
        <v/>
      </c>
      <c r="I34" s="40">
        <f>I30+I31+I32+I33</f>
        <v/>
      </c>
      <c r="J34" s="40">
        <f>J30+J31+J32+J33</f>
        <v/>
      </c>
      <c r="K34" s="40">
        <f>K30+K31+K32+K33</f>
        <v/>
      </c>
      <c r="L34" s="40">
        <f>L30+L31+L32+L33</f>
        <v/>
      </c>
      <c r="M34" s="40">
        <f>M30+M31+M32+M33</f>
        <v/>
      </c>
      <c r="N34" s="29">
        <f>SUM(B34:M34)</f>
        <v/>
      </c>
    </row>
    <row r="36">
      <c r="A36" s="10" t="inlineStr">
        <is>
          <t>NET POSITION</t>
        </is>
      </c>
    </row>
    <row r="37">
      <c r="A37" s="15" t="inlineStr">
        <is>
          <t>Monthly Net (Revenue - Costs)</t>
        </is>
      </c>
      <c r="B37" s="29">
        <f>B27-B34</f>
        <v/>
      </c>
      <c r="C37" s="29">
        <f>C27-C34</f>
        <v/>
      </c>
      <c r="D37" s="29">
        <f>D27-D34</f>
        <v/>
      </c>
      <c r="E37" s="29">
        <f>E27-E34</f>
        <v/>
      </c>
      <c r="F37" s="29">
        <f>F27-F34</f>
        <v/>
      </c>
      <c r="G37" s="29">
        <f>G27-G34</f>
        <v/>
      </c>
      <c r="H37" s="29">
        <f>H27-H34</f>
        <v/>
      </c>
      <c r="I37" s="29">
        <f>I27-I34</f>
        <v/>
      </c>
      <c r="J37" s="29">
        <f>J27-J34</f>
        <v/>
      </c>
      <c r="K37" s="29">
        <f>K27-K34</f>
        <v/>
      </c>
      <c r="L37" s="29">
        <f>L27-L34</f>
        <v/>
      </c>
      <c r="M37" s="29">
        <f>M27-M34</f>
        <v/>
      </c>
      <c r="N37" s="29">
        <f>SUM(B37:M37)</f>
        <v/>
      </c>
    </row>
    <row r="38">
      <c r="A38" s="15" t="inlineStr">
        <is>
          <t>Cumulative Net (incl. upfront costs)</t>
        </is>
      </c>
      <c r="B38" s="29">
        <f>-Assumptions!B11+B37</f>
        <v/>
      </c>
      <c r="C38" s="29">
        <f>B38+C37</f>
        <v/>
      </c>
      <c r="D38" s="29">
        <f>C38+D37</f>
        <v/>
      </c>
      <c r="E38" s="29">
        <f>D38+E37</f>
        <v/>
      </c>
      <c r="F38" s="29">
        <f>E38+F37</f>
        <v/>
      </c>
      <c r="G38" s="29">
        <f>F38+G37</f>
        <v/>
      </c>
      <c r="H38" s="29">
        <f>G38+H37</f>
        <v/>
      </c>
      <c r="I38" s="29">
        <f>H38+I37</f>
        <v/>
      </c>
      <c r="J38" s="29">
        <f>I38+J37</f>
        <v/>
      </c>
      <c r="K38" s="29">
        <f>J38+K37</f>
        <v/>
      </c>
      <c r="L38" s="29">
        <f>K38+L37</f>
        <v/>
      </c>
      <c r="M38" s="29">
        <f>L38+M37</f>
        <v/>
      </c>
    </row>
    <row r="40">
      <c r="A40" s="10" t="inlineStr">
        <is>
          <t>MARGIN ANALYSIS (Revised Pricing)</t>
        </is>
      </c>
    </row>
    <row r="41">
      <c r="A41" s="11" t="inlineStr">
        <is>
          <t>API revenue as % of total</t>
        </is>
      </c>
      <c r="B41" s="17">
        <f>IF(B27=0,0,(B18+B19+B20+B21+B22)/B27)</f>
        <v/>
      </c>
      <c r="C41" s="17">
        <f>IF(C27=0,0,(C18+C19+C20+C21+C22)/C27)</f>
        <v/>
      </c>
      <c r="D41" s="17">
        <f>IF(D27=0,0,(D18+D19+D20+D21+D22)/D27)</f>
        <v/>
      </c>
      <c r="E41" s="17">
        <f>IF(E27=0,0,(E18+E19+E20+E21+E22)/E27)</f>
        <v/>
      </c>
      <c r="F41" s="17">
        <f>IF(F27=0,0,(F18+F19+F20+F21+F22)/F27)</f>
        <v/>
      </c>
      <c r="G41" s="17">
        <f>IF(G27=0,0,(G18+G19+G20+G21+G22)/G27)</f>
        <v/>
      </c>
      <c r="H41" s="17">
        <f>IF(H27=0,0,(H18+H19+H20+H21+H22)/H27)</f>
        <v/>
      </c>
      <c r="I41" s="17">
        <f>IF(I27=0,0,(I18+I19+I20+I21+I22)/I27)</f>
        <v/>
      </c>
      <c r="J41" s="17">
        <f>IF(J27=0,0,(J18+J19+J20+J21+J22)/J27)</f>
        <v/>
      </c>
      <c r="K41" s="17">
        <f>IF(K27=0,0,(K18+K19+K20+K21+K22)/K27)</f>
        <v/>
      </c>
      <c r="L41" s="17">
        <f>IF(L27=0,0,(L18+L19+L20+L21+L22)/L27)</f>
        <v/>
      </c>
      <c r="M41" s="17">
        <f>IF(M27=0,0,(M18+M19+M20+M21+M22)/M27)</f>
        <v/>
      </c>
    </row>
    <row r="42">
      <c r="A42" s="11" t="inlineStr">
        <is>
          <t>Blended API margin % (was 50%, now higher)</t>
        </is>
      </c>
      <c r="B42" s="17">
        <f>IF((B18+B19+B20+B21+B22)=0,0,1-B31/(B18+B19+B20+B21+B22))</f>
        <v/>
      </c>
      <c r="C42" s="17">
        <f>IF((C18+C19+C20+C21+C22)=0,0,1-C31/(C18+C19+C20+C21+C22))</f>
        <v/>
      </c>
      <c r="D42" s="17">
        <f>IF((D18+D19+D20+D21+D22)=0,0,1-D31/(D18+D19+D20+D21+D22))</f>
        <v/>
      </c>
      <c r="E42" s="17">
        <f>IF((E18+E19+E20+E21+E22)=0,0,1-E31/(E18+E19+E20+E21+E22))</f>
        <v/>
      </c>
      <c r="F42" s="17">
        <f>IF((F18+F19+F20+F21+F22)=0,0,1-F31/(F18+F19+F20+F21+F22))</f>
        <v/>
      </c>
      <c r="G42" s="17">
        <f>IF((G18+G19+G20+G21+G22)=0,0,1-G31/(G18+G19+G20+G21+G22))</f>
        <v/>
      </c>
      <c r="H42" s="17">
        <f>IF((H18+H19+H20+H21+H22)=0,0,1-H31/(H18+H19+H20+H21+H22))</f>
        <v/>
      </c>
      <c r="I42" s="17">
        <f>IF((I18+I19+I20+I21+I22)=0,0,1-I31/(I18+I19+I20+I21+I22))</f>
        <v/>
      </c>
      <c r="J42" s="17">
        <f>IF((J18+J19+J20+J21+J22)=0,0,1-J31/(J18+J19+J20+J21+J22))</f>
        <v/>
      </c>
      <c r="K42" s="17">
        <f>IF((K18+K19+K20+K21+K22)=0,0,1-K31/(K18+K19+K20+K21+K22))</f>
        <v/>
      </c>
      <c r="L42" s="17">
        <f>IF((L18+L19+L20+L21+L22)=0,0,1-L31/(L18+L19+L20+L21+L22))</f>
        <v/>
      </c>
      <c r="M42" s="17">
        <f>IF((M18+M19+M20+M21+M22)=0,0,1-M31/(M18+M19+M20+M21+M22))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60" customWidth="1" min="3" max="3"/>
  </cols>
  <sheetData>
    <row r="1">
      <c r="A1" s="1" t="inlineStr">
        <is>
          <t>Break-Even Analysis — Revised Half-Competitor Pricing</t>
        </is>
      </c>
    </row>
    <row r="3">
      <c r="A3" s="3" t="inlineStr">
        <is>
          <t>Break-Even Metric</t>
        </is>
      </c>
      <c r="B3" s="3" t="inlineStr">
        <is>
          <t>Value</t>
        </is>
      </c>
      <c r="C3" s="3" t="inlineStr">
        <is>
          <t>Explanation</t>
        </is>
      </c>
    </row>
    <row r="4">
      <c r="A4" s="11" t="inlineStr"/>
      <c r="B4" s="41" t="n"/>
      <c r="C4" s="27" t="inlineStr"/>
    </row>
    <row r="5">
      <c r="A5" s="10" t="inlineStr">
        <is>
          <t>SCENARIO A: Prokoptos Only (No API Revenue)</t>
        </is>
      </c>
      <c r="B5" s="41" t="n"/>
      <c r="C5" s="27" t="inlineStr"/>
    </row>
    <row r="6">
      <c r="A6" s="11" t="inlineStr">
        <is>
          <t>Monthly fixed costs</t>
        </is>
      </c>
      <c r="B6" s="42">
        <f>Assumptions!B22</f>
        <v/>
      </c>
      <c r="C6" s="27" t="inlineStr"/>
    </row>
    <row r="7">
      <c r="A7" s="11" t="inlineStr">
        <is>
          <t>Net revenue per Prokoptos sub (after Stripe)</t>
        </is>
      </c>
      <c r="B7" s="42">
        <f>Assumptions!B35</f>
        <v/>
      </c>
      <c r="C7" s="27" t="inlineStr"/>
    </row>
    <row r="8">
      <c r="A8" s="11" t="inlineStr">
        <is>
          <t>Subscribers needed to break even</t>
        </is>
      </c>
      <c r="B8" s="42">
        <f>ROUNDUP(B6/B7,0)</f>
        <v/>
      </c>
      <c r="C8" s="27" t="inlineStr">
        <is>
          <t>Hardest path. Prokoptos alone.</t>
        </is>
      </c>
    </row>
    <row r="9">
      <c r="A9" s="11" t="inlineStr">
        <is>
          <t>Registered users needed (at 5% conversion)</t>
        </is>
      </c>
      <c r="B9" s="42">
        <f>B8*20</f>
        <v/>
      </c>
      <c r="C9" s="27" t="inlineStr"/>
    </row>
    <row r="10">
      <c r="A10" s="11" t="inlineStr"/>
      <c r="B10" s="41" t="n"/>
      <c r="C10" s="27" t="inlineStr"/>
    </row>
    <row r="11">
      <c r="A11" s="10" t="inlineStr">
        <is>
          <t>SCENARIO B: Mixed Model (5 Decision Support Agents + Prokoptos)</t>
        </is>
      </c>
      <c r="B11" s="41" t="n"/>
      <c r="C11" s="27" t="inlineStr"/>
    </row>
    <row r="12">
      <c r="A12" s="11" t="inlineStr">
        <is>
          <t>Monthly API margin from 5 Decision agents</t>
        </is>
      </c>
      <c r="B12" s="42">
        <f>5*347.43</f>
        <v/>
      </c>
      <c r="C12" s="27" t="inlineStr">
        <is>
          <t>5 agents × $347.43 margin/agent/mo</t>
        </is>
      </c>
    </row>
    <row r="13">
      <c r="A13" s="11" t="inlineStr">
        <is>
          <t>Remaining fixed costs after API margin</t>
        </is>
      </c>
      <c r="B13" s="42">
        <f>B6-B12</f>
        <v/>
      </c>
      <c r="C13" s="27" t="inlineStr"/>
    </row>
    <row r="14">
      <c r="A14" s="11" t="inlineStr">
        <is>
          <t>Additional Prokoptos subs needed</t>
        </is>
      </c>
      <c r="B14" s="42">
        <f>IF(B13&lt;=0,0,ROUNDUP(B13/B7,0))</f>
        <v/>
      </c>
      <c r="C14" s="27" t="inlineStr"/>
    </row>
    <row r="15">
      <c r="A15" s="11" t="inlineStr">
        <is>
          <t>Registered users needed</t>
        </is>
      </c>
      <c r="B15" s="42">
        <f>B14*20</f>
        <v/>
      </c>
      <c r="C15" s="27" t="inlineStr"/>
    </row>
    <row r="16">
      <c r="A16" s="11" t="inlineStr"/>
      <c r="B16" s="41" t="n"/>
      <c r="C16" s="27" t="inlineStr"/>
    </row>
    <row r="17">
      <c r="A17" s="10" t="inlineStr">
        <is>
          <t>SCENARIO C: Diverse Agent Mix (Month 12 Base Case)</t>
        </is>
      </c>
      <c r="B17" s="41" t="n"/>
      <c r="C17" s="27" t="inlineStr"/>
    </row>
    <row r="18">
      <c r="A18" s="11" t="inlineStr">
        <is>
          <t>Guard agents (3) margin/mo</t>
        </is>
      </c>
      <c r="B18" s="42">
        <f>3*108.1</f>
        <v/>
      </c>
      <c r="C18" s="27" t="inlineStr">
        <is>
          <t>3 × $108.10/agent/mo</t>
        </is>
      </c>
    </row>
    <row r="19">
      <c r="A19" s="11" t="inlineStr">
        <is>
          <t>Decision agents (8) margin/mo</t>
        </is>
      </c>
      <c r="B19" s="42">
        <f>8*347.43</f>
        <v/>
      </c>
      <c r="C19" s="27" t="inlineStr">
        <is>
          <t>8 × $347.43/agent/mo</t>
        </is>
      </c>
    </row>
    <row r="20">
      <c r="A20" s="11" t="inlineStr">
        <is>
          <t>Compliance agents (3) margin/mo</t>
        </is>
      </c>
      <c r="B20" s="42">
        <f>3*394.49</f>
        <v/>
      </c>
      <c r="C20" s="27" t="inlineStr">
        <is>
          <t>3 × $394.49/agent/mo</t>
        </is>
      </c>
    </row>
    <row r="21">
      <c r="A21" s="11" t="inlineStr">
        <is>
          <t>Coach agents (6) margin/mo</t>
        </is>
      </c>
      <c r="B21" s="42">
        <f>6*300.86</f>
        <v/>
      </c>
      <c r="C21" s="27" t="inlineStr">
        <is>
          <t>6 × $300.86/agent/mo</t>
        </is>
      </c>
    </row>
    <row r="22">
      <c r="A22" s="11" t="inlineStr">
        <is>
          <t>Full-stack agents (5) margin/mo</t>
        </is>
      </c>
      <c r="B22" s="42">
        <f>5*423.93</f>
        <v/>
      </c>
      <c r="C22" s="27" t="inlineStr">
        <is>
          <t>5 × $423.93/agent/mo</t>
        </is>
      </c>
    </row>
    <row r="23">
      <c r="A23" s="11" t="inlineStr">
        <is>
          <t>Total API margin (25 agents)</t>
        </is>
      </c>
      <c r="B23" s="42">
        <f>SUM(B18:B22)</f>
        <v/>
      </c>
      <c r="C23" s="27" t="inlineStr"/>
    </row>
    <row r="24">
      <c r="A24" s="11" t="inlineStr">
        <is>
          <t>Fixed costs covered?</t>
        </is>
      </c>
      <c r="B24" s="42">
        <f>IF(B23&gt;=B6,"YES — API alone covers fixed costs","NO")</f>
        <v/>
      </c>
      <c r="C24" s="27" t="inlineStr"/>
    </row>
    <row r="25">
      <c r="A25" s="11" t="inlineStr">
        <is>
          <t>Surplus after fixed costs</t>
        </is>
      </c>
      <c r="B25" s="42">
        <f>B23-B6</f>
        <v/>
      </c>
      <c r="C25" s="27" t="inlineStr">
        <is>
          <t>Available for growth reinvestment.</t>
        </is>
      </c>
    </row>
    <row r="26">
      <c r="A26" s="11" t="inlineStr"/>
      <c r="B26" s="41" t="n"/>
      <c r="C26" s="27" t="inlineStr"/>
    </row>
    <row r="27">
      <c r="A27" s="10" t="inlineStr">
        <is>
          <t>SCENARIO D: API Revenue Only (No Prokoptos)</t>
        </is>
      </c>
      <c r="B27" s="41" t="n"/>
      <c r="C27" s="27" t="inlineStr"/>
    </row>
    <row r="28">
      <c r="A28" s="11" t="inlineStr">
        <is>
          <t>Weighted avg margin per call</t>
        </is>
      </c>
      <c r="B28" s="42">
        <f>0.0974</f>
        <v/>
      </c>
      <c r="C28" s="27" t="inlineStr">
        <is>
          <t>Weighted across agent mix</t>
        </is>
      </c>
    </row>
    <row r="29">
      <c r="A29" s="11" t="inlineStr">
        <is>
          <t>API calls/month to cover fixed costs</t>
        </is>
      </c>
      <c r="B29" s="42">
        <f>ROUNDUP(B6/B28,0)</f>
        <v/>
      </c>
      <c r="C29" s="27" t="inlineStr"/>
    </row>
    <row r="30">
      <c r="A30" s="11" t="inlineStr"/>
      <c r="B30" s="41" t="n"/>
      <c r="C30" s="27" t="inlineStr"/>
    </row>
    <row r="31">
      <c r="A31" s="10" t="inlineStr">
        <is>
          <t>PAYBACK PERIOD ON UPFRONT INVESTMENT</t>
        </is>
      </c>
      <c r="B31" s="41" t="n"/>
      <c r="C31" s="27" t="inlineStr"/>
    </row>
    <row r="32">
      <c r="A32" s="11" t="inlineStr">
        <is>
          <t>Total upfront investment</t>
        </is>
      </c>
      <c r="B32" s="42">
        <f>Assumptions!B11</f>
        <v/>
      </c>
      <c r="C32" s="27" t="inlineStr"/>
    </row>
    <row r="33">
      <c r="A33" s="11" t="inlineStr">
        <is>
          <t>Month 12 monthly net (from projection)</t>
        </is>
      </c>
      <c r="B33" s="41" t="n"/>
      <c r="C33" s="27" t="inlineStr">
        <is>
          <t>See 12-Month Projection sheet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3" t="inlineStr"/>
      <c r="B1" s="3" t="inlineStr">
        <is>
          <t>Bear Case</t>
        </is>
      </c>
      <c r="C1" s="3" t="inlineStr">
        <is>
          <t>Base Case</t>
        </is>
      </c>
      <c r="D1" s="3" t="inlineStr">
        <is>
          <t>Bull Case</t>
        </is>
      </c>
      <c r="E1" s="3" t="inlineStr">
        <is>
          <t>Notes</t>
        </is>
      </c>
    </row>
    <row r="2">
      <c r="A2" s="11" t="inlineStr"/>
      <c r="E2" s="27" t="inlineStr"/>
    </row>
    <row r="3">
      <c r="A3" s="10" t="inlineStr">
        <is>
          <t>12-MONTH END STATE</t>
        </is>
      </c>
      <c r="E3" s="27" t="inlineStr"/>
    </row>
    <row r="4">
      <c r="A4" s="11" t="inlineStr">
        <is>
          <t>Registered Human Users</t>
        </is>
      </c>
      <c r="B4" s="21" t="n">
        <v>600</v>
      </c>
      <c r="C4" s="21" t="n">
        <v>1400</v>
      </c>
      <c r="D4" s="21" t="n">
        <v>3000</v>
      </c>
      <c r="E4" s="27" t="inlineStr"/>
    </row>
    <row r="5">
      <c r="A5" s="11" t="inlineStr">
        <is>
          <t>Agent Developers Registered</t>
        </is>
      </c>
      <c r="B5" s="21" t="n">
        <v>80</v>
      </c>
      <c r="C5" s="21" t="n">
        <v>340</v>
      </c>
      <c r="D5" s="21" t="n">
        <v>800</v>
      </c>
      <c r="E5" s="27" t="inlineStr"/>
    </row>
    <row r="6">
      <c r="A6" s="11" t="inlineStr">
        <is>
          <t>Human Conversion Rate</t>
        </is>
      </c>
      <c r="B6" s="43" t="n">
        <v>0.03</v>
      </c>
      <c r="C6" s="43" t="n">
        <v>0.05</v>
      </c>
      <c r="D6" s="43" t="n">
        <v>0.1</v>
      </c>
      <c r="E6" s="27" t="inlineStr"/>
    </row>
    <row r="7">
      <c r="A7" s="11" t="inlineStr">
        <is>
          <t>Agent Conversion Rate</t>
        </is>
      </c>
      <c r="B7" s="43" t="n">
        <v>0.04</v>
      </c>
      <c r="C7" s="43" t="n">
        <v>0.08</v>
      </c>
      <c r="D7" s="43" t="n">
        <v>0.15</v>
      </c>
      <c r="E7" s="27" t="inlineStr"/>
    </row>
    <row r="8">
      <c r="A8" s="11" t="inlineStr"/>
      <c r="E8" s="27" t="inlineStr"/>
    </row>
    <row r="9">
      <c r="A9" s="11" t="inlineStr">
        <is>
          <t>PAID AGENT MIX (Month 12)</t>
        </is>
      </c>
      <c r="E9" s="27" t="inlineStr"/>
    </row>
    <row r="10">
      <c r="A10" s="11" t="inlineStr">
        <is>
          <t>Reasoning Guard agents</t>
        </is>
      </c>
      <c r="B10" s="21" t="n">
        <v>1</v>
      </c>
      <c r="C10" s="21" t="n">
        <v>3</v>
      </c>
      <c r="D10" s="21" t="n">
        <v>8</v>
      </c>
      <c r="E10" s="27" t="inlineStr"/>
    </row>
    <row r="11">
      <c r="A11" s="11" t="inlineStr">
        <is>
          <t>Decision Support agents</t>
        </is>
      </c>
      <c r="B11" s="21" t="n">
        <v>2</v>
      </c>
      <c r="C11" s="21" t="n">
        <v>8</v>
      </c>
      <c r="D11" s="21" t="n">
        <v>20</v>
      </c>
      <c r="E11" s="27" t="inlineStr"/>
    </row>
    <row r="12">
      <c r="A12" s="11" t="inlineStr">
        <is>
          <t>Compliance agents</t>
        </is>
      </c>
      <c r="B12" s="21" t="n">
        <v>0</v>
      </c>
      <c r="C12" s="21" t="n">
        <v>3</v>
      </c>
      <c r="D12" s="21" t="n">
        <v>10</v>
      </c>
      <c r="E12" s="27" t="inlineStr"/>
    </row>
    <row r="13">
      <c r="A13" s="11" t="inlineStr">
        <is>
          <t>Personal Coach agents</t>
        </is>
      </c>
      <c r="B13" s="21" t="n">
        <v>1</v>
      </c>
      <c r="C13" s="21" t="n">
        <v>6</v>
      </c>
      <c r="D13" s="21" t="n">
        <v>15</v>
      </c>
      <c r="E13" s="27" t="inlineStr"/>
    </row>
    <row r="14">
      <c r="A14" s="11" t="inlineStr">
        <is>
          <t>Full-Stack agents</t>
        </is>
      </c>
      <c r="B14" s="21" t="n">
        <v>0</v>
      </c>
      <c r="C14" s="21" t="n">
        <v>5</v>
      </c>
      <c r="D14" s="21" t="n">
        <v>12</v>
      </c>
      <c r="E14" s="27" t="inlineStr"/>
    </row>
    <row r="15">
      <c r="A15" s="11" t="inlineStr">
        <is>
          <t>Total Paid Agents</t>
        </is>
      </c>
      <c r="B15" s="44">
        <f>SUM(B9:B13)</f>
        <v/>
      </c>
      <c r="C15" s="44">
        <f>SUM(C9:C13)</f>
        <v/>
      </c>
      <c r="D15" s="44">
        <f>SUM(D9:D13)</f>
        <v/>
      </c>
      <c r="E15" s="27" t="inlineStr"/>
    </row>
    <row r="16">
      <c r="A16" s="11" t="inlineStr"/>
      <c r="E16" s="27" t="inlineStr"/>
    </row>
    <row r="17">
      <c r="A17" s="10" t="inlineStr">
        <is>
          <t>MONTH 12 REVENUE (MONTHLY) — REVISED PRICING</t>
        </is>
      </c>
      <c r="E17" s="27" t="inlineStr"/>
    </row>
    <row r="18">
      <c r="A18" s="11" t="inlineStr">
        <is>
          <t>Prokoptos Subscribers</t>
        </is>
      </c>
      <c r="B18" s="44">
        <f>B3*B5</f>
        <v/>
      </c>
      <c r="C18" s="44">
        <f>C3*C5</f>
        <v/>
      </c>
      <c r="D18" s="44">
        <f>D3*D5</f>
        <v/>
      </c>
      <c r="E18" s="27" t="inlineStr"/>
    </row>
    <row r="19">
      <c r="A19" s="11" t="inlineStr">
        <is>
          <t>Prokoptos Revenue/mo</t>
        </is>
      </c>
      <c r="B19" s="44">
        <f>B17*7</f>
        <v/>
      </c>
      <c r="C19" s="44">
        <f>C17*7</f>
        <v/>
      </c>
      <c r="D19" s="44">
        <f>D17*7</f>
        <v/>
      </c>
      <c r="E19" s="27" t="inlineStr"/>
    </row>
    <row r="20">
      <c r="A20" s="11" t="inlineStr"/>
      <c r="E20" s="27" t="inlineStr"/>
    </row>
    <row r="21">
      <c r="A21" s="11" t="inlineStr">
        <is>
          <t>Agent API Revenue/mo (NEW PRICES)</t>
        </is>
      </c>
      <c r="E21" s="27" t="inlineStr"/>
    </row>
    <row r="22">
      <c r="A22" s="11" t="inlineStr">
        <is>
          <t xml:space="preserve">  Guard rev ($120.50/agent)</t>
        </is>
      </c>
      <c r="B22" s="44">
        <f>B9*120.5</f>
        <v/>
      </c>
      <c r="C22" s="44">
        <f>C9*120.5</f>
        <v/>
      </c>
      <c r="D22" s="44">
        <f>D9*120.5</f>
        <v/>
      </c>
      <c r="E22" s="27" t="inlineStr">
        <is>
          <t>Was $24.80</t>
        </is>
      </c>
    </row>
    <row r="23">
      <c r="A23" s="11" t="inlineStr">
        <is>
          <t xml:space="preserve">  Decision rev ($384.90/agent)</t>
        </is>
      </c>
      <c r="B23" s="44">
        <f>B10*384.9</f>
        <v/>
      </c>
      <c r="C23" s="44">
        <f>C10*384.9</f>
        <v/>
      </c>
      <c r="D23" s="44">
        <f>D10*384.9</f>
        <v/>
      </c>
      <c r="E23" s="27" t="inlineStr">
        <is>
          <t>Was $74.94</t>
        </is>
      </c>
    </row>
    <row r="24">
      <c r="A24" s="11" t="inlineStr">
        <is>
          <t xml:space="preserve">  Compliance rev ($438.30/agent)</t>
        </is>
      </c>
      <c r="B24" s="44">
        <f>B11*438.3</f>
        <v/>
      </c>
      <c r="C24" s="44">
        <f>C11*438.3</f>
        <v/>
      </c>
      <c r="D24" s="44">
        <f>D11*438.3</f>
        <v/>
      </c>
      <c r="E24" s="27" t="inlineStr">
        <is>
          <t>Was $87.63</t>
        </is>
      </c>
    </row>
    <row r="25">
      <c r="A25" s="11" t="inlineStr">
        <is>
          <t xml:space="preserve">  Coach rev ($334.85/agent)</t>
        </is>
      </c>
      <c r="B25" s="44">
        <f>B12*334.85</f>
        <v/>
      </c>
      <c r="C25" s="44">
        <f>C12*334.85</f>
        <v/>
      </c>
      <c r="D25" s="44">
        <f>D12*334.85</f>
        <v/>
      </c>
      <c r="E25" s="27" t="inlineStr">
        <is>
          <t>Was $67.97</t>
        </is>
      </c>
    </row>
    <row r="26">
      <c r="A26" s="11" t="inlineStr">
        <is>
          <t xml:space="preserve">  Full-stack rev ($470.55/agent)</t>
        </is>
      </c>
      <c r="B26" s="44">
        <f>B13*470.55</f>
        <v/>
      </c>
      <c r="C26" s="44">
        <f>C13*470.55</f>
        <v/>
      </c>
      <c r="D26" s="44">
        <f>D13*470.55</f>
        <v/>
      </c>
      <c r="E26" s="27" t="inlineStr">
        <is>
          <t>Was $93.23</t>
        </is>
      </c>
    </row>
    <row r="27">
      <c r="A27" s="11" t="inlineStr">
        <is>
          <t>Total Agent API Revenue/mo</t>
        </is>
      </c>
      <c r="B27" s="44">
        <f>SUM(B21:B25)</f>
        <v/>
      </c>
      <c r="C27" s="44">
        <f>SUM(C21:C25)</f>
        <v/>
      </c>
      <c r="D27" s="44">
        <f>SUM(D21:D25)</f>
        <v/>
      </c>
      <c r="E27" s="27" t="inlineStr"/>
    </row>
    <row r="28">
      <c r="A28" s="11" t="inlineStr">
        <is>
          <t>Other Revenue (patronage + badges + enterprise)</t>
        </is>
      </c>
      <c r="B28" s="45" t="n">
        <v>50</v>
      </c>
      <c r="C28" s="45" t="n">
        <v>350</v>
      </c>
      <c r="D28" s="45" t="n">
        <v>1500</v>
      </c>
      <c r="E28" s="27" t="inlineStr"/>
    </row>
    <row r="29">
      <c r="A29" s="11" t="inlineStr">
        <is>
          <t>TOTAL MONTH 12 REVENUE</t>
        </is>
      </c>
      <c r="B29" s="44">
        <f>B18+B26+B27</f>
        <v/>
      </c>
      <c r="C29" s="44">
        <f>C18+C26+C27</f>
        <v/>
      </c>
      <c r="D29" s="44">
        <f>D18+D26+D27</f>
        <v/>
      </c>
      <c r="E29" s="27" t="inlineStr"/>
    </row>
    <row r="30">
      <c r="A30" s="11" t="inlineStr"/>
      <c r="E30" s="27" t="inlineStr"/>
    </row>
    <row r="31">
      <c r="A31" s="10" t="inlineStr">
        <is>
          <t>MONTH 12 COSTS (MONTHLY)</t>
        </is>
      </c>
      <c r="E31" s="27" t="inlineStr"/>
    </row>
    <row r="32">
      <c r="A32" s="11" t="inlineStr">
        <is>
          <t>Fixed Costs/mo</t>
        </is>
      </c>
      <c r="B32" s="44">
        <f>Assumptions!B22</f>
        <v/>
      </c>
      <c r="C32" s="44">
        <f>Assumptions!B22</f>
        <v/>
      </c>
      <c r="D32" s="44">
        <f>Assumptions!B22</f>
        <v/>
      </c>
      <c r="E32" s="27" t="inlineStr"/>
    </row>
    <row r="33">
      <c r="A33" s="11" t="inlineStr">
        <is>
          <t>LLM Costs (actual, not 50%)</t>
        </is>
      </c>
      <c r="E33" s="27" t="inlineStr"/>
    </row>
    <row r="34">
      <c r="A34" s="11" t="inlineStr">
        <is>
          <t xml:space="preserve">  Guard LLM ($12.40/agent)</t>
        </is>
      </c>
      <c r="B34" s="44">
        <f>B9*12.4</f>
        <v/>
      </c>
      <c r="C34" s="44">
        <f>C9*12.4</f>
        <v/>
      </c>
      <c r="D34" s="44">
        <f>D9*12.4</f>
        <v/>
      </c>
      <c r="E34" s="27" t="inlineStr"/>
    </row>
    <row r="35">
      <c r="A35" s="11" t="inlineStr">
        <is>
          <t xml:space="preserve">  Decision LLM ($37.47/agent)</t>
        </is>
      </c>
      <c r="B35" s="44">
        <f>B10*37.47</f>
        <v/>
      </c>
      <c r="C35" s="44">
        <f>C10*37.47</f>
        <v/>
      </c>
      <c r="D35" s="44">
        <f>D10*37.47</f>
        <v/>
      </c>
      <c r="E35" s="27" t="inlineStr"/>
    </row>
    <row r="36">
      <c r="A36" s="11" t="inlineStr">
        <is>
          <t xml:space="preserve">  Compliance LLM ($43.81/agent)</t>
        </is>
      </c>
      <c r="B36" s="44">
        <f>B11*43.81</f>
        <v/>
      </c>
      <c r="C36" s="44">
        <f>C11*43.81</f>
        <v/>
      </c>
      <c r="D36" s="44">
        <f>D11*43.81</f>
        <v/>
      </c>
      <c r="E36" s="27" t="inlineStr"/>
    </row>
    <row r="37">
      <c r="A37" s="11" t="inlineStr">
        <is>
          <t xml:space="preserve">  Coach LLM ($33.99/agent)</t>
        </is>
      </c>
      <c r="B37" s="44">
        <f>B12*33.99</f>
        <v/>
      </c>
      <c r="C37" s="44">
        <f>C12*33.99</f>
        <v/>
      </c>
      <c r="D37" s="44">
        <f>D12*33.99</f>
        <v/>
      </c>
      <c r="E37" s="27" t="inlineStr"/>
    </row>
    <row r="38">
      <c r="A38" s="11" t="inlineStr">
        <is>
          <t xml:space="preserve">  Full-stack LLM ($46.62/agent)</t>
        </is>
      </c>
      <c r="B38" s="44">
        <f>B13*46.62</f>
        <v/>
      </c>
      <c r="C38" s="44">
        <f>C13*46.62</f>
        <v/>
      </c>
      <c r="D38" s="44">
        <f>D13*46.62</f>
        <v/>
      </c>
      <c r="E38" s="27" t="inlineStr"/>
    </row>
    <row r="39">
      <c r="A39" s="11" t="inlineStr">
        <is>
          <t>Total LLM Costs</t>
        </is>
      </c>
      <c r="B39" s="44">
        <f>SUM(B33:B37)</f>
        <v/>
      </c>
      <c r="C39" s="44">
        <f>SUM(C33:C37)</f>
        <v/>
      </c>
      <c r="D39" s="44">
        <f>SUM(D33:D37)</f>
        <v/>
      </c>
      <c r="E39" s="27" t="inlineStr"/>
    </row>
    <row r="40">
      <c r="A40" s="11" t="inlineStr">
        <is>
          <t>Free Tier Costs</t>
        </is>
      </c>
      <c r="B40" s="45" t="n">
        <v>50</v>
      </c>
      <c r="C40" s="45" t="n">
        <v>120</v>
      </c>
      <c r="D40" s="45" t="n">
        <v>200</v>
      </c>
      <c r="E40" s="27" t="inlineStr"/>
    </row>
    <row r="41">
      <c r="A41" s="11" t="inlineStr">
        <is>
          <t>Stripe Fees (~2%)</t>
        </is>
      </c>
      <c r="B41" s="44">
        <f>B28*0.02</f>
        <v/>
      </c>
      <c r="C41" s="44">
        <f>C28*0.02</f>
        <v/>
      </c>
      <c r="D41" s="44">
        <f>D28*0.02</f>
        <v/>
      </c>
      <c r="E41" s="27" t="inlineStr"/>
    </row>
    <row r="42">
      <c r="A42" s="11" t="inlineStr">
        <is>
          <t>TOTAL MONTH 12 COSTS</t>
        </is>
      </c>
      <c r="B42" s="44">
        <f>B31+B38+B39+B40</f>
        <v/>
      </c>
      <c r="C42" s="44">
        <f>C31+C38+C39+C40</f>
        <v/>
      </c>
      <c r="D42" s="44">
        <f>D31+D38+D39+D40</f>
        <v/>
      </c>
      <c r="E42" s="27" t="inlineStr"/>
    </row>
    <row r="43">
      <c r="A43" s="11" t="inlineStr"/>
      <c r="E43" s="27" t="inlineStr"/>
    </row>
    <row r="44">
      <c r="A44" s="10" t="inlineStr">
        <is>
          <t>VERDICTS</t>
        </is>
      </c>
      <c r="E44" s="27" t="inlineStr"/>
    </row>
    <row r="45">
      <c r="A45" s="11" t="inlineStr">
        <is>
          <t>Month 12 Net (Revenue - Costs)</t>
        </is>
      </c>
      <c r="B45" s="44">
        <f>B28-B41</f>
        <v/>
      </c>
      <c r="C45" s="44">
        <f>C28-C41</f>
        <v/>
      </c>
      <c r="D45" s="44">
        <f>D28-D41</f>
        <v/>
      </c>
      <c r="E45" s="27" t="inlineStr"/>
    </row>
    <row r="46">
      <c r="A46" s="11" t="inlineStr">
        <is>
          <t>Annualised Run Rate (Month 12 × 12)</t>
        </is>
      </c>
      <c r="B46" s="44">
        <f>B44*12</f>
        <v/>
      </c>
      <c r="C46" s="44">
        <f>C44*12</f>
        <v/>
      </c>
      <c r="D46" s="44">
        <f>D44*12</f>
        <v/>
      </c>
      <c r="E46" s="27" t="inlineStr"/>
    </row>
    <row r="47">
      <c r="A47" s="11" t="inlineStr">
        <is>
          <t>Blended API Margin %</t>
        </is>
      </c>
      <c r="B47" s="44">
        <f>IF(B26=0,0,1-B38/B26)</f>
        <v/>
      </c>
      <c r="C47" s="44">
        <f>IF(C26=0,0,1-C38/C26)</f>
        <v/>
      </c>
      <c r="D47" s="44">
        <f>IF(D26=0,0,1-D38/D26)</f>
        <v/>
      </c>
      <c r="E47" s="27" t="inlineStr">
        <is>
          <t>Was 50%. Now higher.</t>
        </is>
      </c>
    </row>
    <row r="48">
      <c r="A48" s="11" t="inlineStr"/>
      <c r="E48" s="27" t="inlineStr"/>
    </row>
    <row r="49">
      <c r="A49" s="10" t="inlineStr">
        <is>
          <t>INVESTMENT METRICS</t>
        </is>
      </c>
      <c r="E49" s="27" t="inlineStr"/>
    </row>
    <row r="50">
      <c r="A50" s="11" t="inlineStr">
        <is>
          <t>Total Upfront Investment</t>
        </is>
      </c>
      <c r="B50" s="44">
        <f>Assumptions!B11</f>
        <v/>
      </c>
      <c r="C50" s="44">
        <f>Assumptions!B11</f>
        <v/>
      </c>
      <c r="D50" s="44">
        <f>Assumptions!B11</f>
        <v/>
      </c>
      <c r="E50" s="27" t="inlineStr"/>
    </row>
    <row r="51">
      <c r="A51" s="11" t="inlineStr">
        <is>
          <t>Break-even month (est.)</t>
        </is>
      </c>
      <c r="B51" s="44" t="inlineStr">
        <is>
          <t>Month 7-8</t>
        </is>
      </c>
      <c r="C51" s="44" t="inlineStr">
        <is>
          <t>Month 3-4</t>
        </is>
      </c>
      <c r="D51" s="44" t="inlineStr">
        <is>
          <t>Month 2-3</t>
        </is>
      </c>
      <c r="E51" s="27" t="inlineStr">
        <is>
          <t>Accelerated by higher margins</t>
        </is>
      </c>
    </row>
    <row r="52">
      <c r="A52" s="11" t="inlineStr">
        <is>
          <t>Payback on upfront (est.)</t>
        </is>
      </c>
      <c r="B52" s="44" t="inlineStr">
        <is>
          <t>Month 12-14</t>
        </is>
      </c>
      <c r="C52" s="44" t="inlineStr">
        <is>
          <t>Month 8-10</t>
        </is>
      </c>
      <c r="D52" s="44" t="inlineStr">
        <is>
          <t>Month 5-7</t>
        </is>
      </c>
      <c r="E52" s="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0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Old vs New Pricing — Impact on Revenue per Agent</t>
        </is>
      </c>
    </row>
    <row r="3">
      <c r="A3" s="3" t="inlineStr">
        <is>
          <t>Agent Archetype</t>
        </is>
      </c>
      <c r="B3" s="3" t="inlineStr">
        <is>
          <t>Old Rev/mo</t>
        </is>
      </c>
      <c r="C3" s="3" t="inlineStr">
        <is>
          <t>New Rev/mo</t>
        </is>
      </c>
      <c r="D3" s="3" t="inlineStr">
        <is>
          <t>Revenue Change</t>
        </is>
      </c>
      <c r="E3" s="3" t="inlineStr">
        <is>
          <t>Old Cost/mo</t>
        </is>
      </c>
      <c r="F3" s="3" t="inlineStr">
        <is>
          <t>New Cost/mo</t>
        </is>
      </c>
      <c r="G3" s="3" t="inlineStr">
        <is>
          <t>Old Margin</t>
        </is>
      </c>
      <c r="H3" s="3" t="inlineStr">
        <is>
          <t>New Margin</t>
        </is>
      </c>
      <c r="I3" s="3" t="inlineStr">
        <is>
          <t>Old Margin %</t>
        </is>
      </c>
      <c r="J3" s="3" t="inlineStr">
        <is>
          <t>New Margin %</t>
        </is>
      </c>
    </row>
    <row r="4">
      <c r="A4" s="4" t="inlineStr">
        <is>
          <t>Reasoning Guard</t>
        </is>
      </c>
      <c r="B4" s="46" t="n">
        <v>24.8</v>
      </c>
      <c r="C4" s="47" t="n">
        <v>120.5</v>
      </c>
      <c r="D4" s="48">
        <f>C4/B4-1</f>
        <v/>
      </c>
      <c r="E4" s="46" t="n">
        <v>12.4</v>
      </c>
      <c r="F4" s="49" t="n">
        <v>12.4</v>
      </c>
      <c r="G4" s="46">
        <f>B4-E4</f>
        <v/>
      </c>
      <c r="H4" s="50">
        <f>C4-F4</f>
        <v/>
      </c>
      <c r="I4" s="51">
        <f>G4/B4</f>
        <v/>
      </c>
      <c r="J4" s="52">
        <f>H4/C4</f>
        <v/>
      </c>
    </row>
    <row r="5">
      <c r="A5" s="4" t="inlineStr">
        <is>
          <t>Decision Support</t>
        </is>
      </c>
      <c r="B5" s="46" t="n">
        <v>74.94</v>
      </c>
      <c r="C5" s="47" t="n">
        <v>384.9</v>
      </c>
      <c r="D5" s="48">
        <f>C5/B5-1</f>
        <v/>
      </c>
      <c r="E5" s="46" t="n">
        <v>37.47</v>
      </c>
      <c r="F5" s="49" t="n">
        <v>37.47</v>
      </c>
      <c r="G5" s="46">
        <f>B5-E5</f>
        <v/>
      </c>
      <c r="H5" s="50">
        <f>C5-F5</f>
        <v/>
      </c>
      <c r="I5" s="51">
        <f>G5/B5</f>
        <v/>
      </c>
      <c r="J5" s="52">
        <f>H5/C5</f>
        <v/>
      </c>
    </row>
    <row r="6">
      <c r="A6" s="4" t="inlineStr">
        <is>
          <t>Compliance Agent</t>
        </is>
      </c>
      <c r="B6" s="46" t="n">
        <v>87.63</v>
      </c>
      <c r="C6" s="47" t="n">
        <v>438.3</v>
      </c>
      <c r="D6" s="48">
        <f>C6/B6-1</f>
        <v/>
      </c>
      <c r="E6" s="46" t="n">
        <v>43.82</v>
      </c>
      <c r="F6" s="49" t="n">
        <v>43.81</v>
      </c>
      <c r="G6" s="46">
        <f>B6-E6</f>
        <v/>
      </c>
      <c r="H6" s="50">
        <f>C6-F6</f>
        <v/>
      </c>
      <c r="I6" s="51">
        <f>G6/B6</f>
        <v/>
      </c>
      <c r="J6" s="52">
        <f>H6/C6</f>
        <v/>
      </c>
    </row>
    <row r="7">
      <c r="A7" s="4" t="inlineStr">
        <is>
          <t>Personal Coach</t>
        </is>
      </c>
      <c r="B7" s="46" t="n">
        <v>67.97</v>
      </c>
      <c r="C7" s="47" t="n">
        <v>334.85</v>
      </c>
      <c r="D7" s="48">
        <f>C7/B7-1</f>
        <v/>
      </c>
      <c r="E7" s="46" t="n">
        <v>33.99</v>
      </c>
      <c r="F7" s="49" t="n">
        <v>33.99</v>
      </c>
      <c r="G7" s="46">
        <f>B7-E7</f>
        <v/>
      </c>
      <c r="H7" s="50">
        <f>C7-F7</f>
        <v/>
      </c>
      <c r="I7" s="51">
        <f>G7/B7</f>
        <v/>
      </c>
      <c r="J7" s="52">
        <f>H7/C7</f>
        <v/>
      </c>
    </row>
    <row r="8">
      <c r="A8" s="4" t="inlineStr">
        <is>
          <t>Full-Stack Agent</t>
        </is>
      </c>
      <c r="B8" s="46" t="n">
        <v>93.23</v>
      </c>
      <c r="C8" s="47" t="n">
        <v>470.55</v>
      </c>
      <c r="D8" s="48">
        <f>C8/B8-1</f>
        <v/>
      </c>
      <c r="E8" s="46" t="n">
        <v>46.62</v>
      </c>
      <c r="F8" s="49" t="n">
        <v>46.62</v>
      </c>
      <c r="G8" s="46">
        <f>B8-E8</f>
        <v/>
      </c>
      <c r="H8" s="50">
        <f>C8-F8</f>
        <v/>
      </c>
      <c r="I8" s="51">
        <f>G8/B8</f>
        <v/>
      </c>
      <c r="J8" s="52">
        <f>H8/C8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8F0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22" customWidth="1" min="5" max="5"/>
    <col width="16" customWidth="1" min="6" max="6"/>
    <col width="16" customWidth="1" min="7" max="7"/>
  </cols>
  <sheetData>
    <row r="1">
      <c r="A1" s="1" t="inlineStr">
        <is>
          <t>Mythos Cost Impact — Half-Competitor Pricing Model</t>
        </is>
      </c>
    </row>
    <row r="2">
      <c r="A2" s="2" t="inlineStr">
        <is>
          <t>Under half-competitor pricing, Mythos increases LLM cost but customer price stays anchored to competitor benchmarks.</t>
        </is>
      </c>
    </row>
    <row r="4">
      <c r="A4" s="3" t="inlineStr">
        <is>
          <t>Agent Archetype</t>
        </is>
      </c>
      <c r="B4" s="3" t="inlineStr">
        <is>
          <t>Current Rev/mo</t>
        </is>
      </c>
      <c r="C4" s="3" t="inlineStr">
        <is>
          <t>Current LLM Cost/mo</t>
        </is>
      </c>
      <c r="D4" s="3" t="inlineStr">
        <is>
          <t>Current Margin</t>
        </is>
      </c>
      <c r="E4" s="3" t="inlineStr">
        <is>
          <t>Mythos LLM Cost/mo (×2.08)</t>
        </is>
      </c>
      <c r="F4" s="3" t="inlineStr">
        <is>
          <t>Mythos Margin</t>
        </is>
      </c>
      <c r="G4" s="3" t="inlineStr">
        <is>
          <t>Margin % Change</t>
        </is>
      </c>
    </row>
    <row r="5">
      <c r="A5" s="4" t="inlineStr">
        <is>
          <t>Reasoning Guard</t>
        </is>
      </c>
      <c r="B5" s="49" t="n">
        <v>120.5</v>
      </c>
      <c r="C5" s="49" t="n">
        <v>12.4</v>
      </c>
      <c r="D5" s="49">
        <f>B5-C5</f>
        <v/>
      </c>
      <c r="E5" s="49">
        <f>C5*2.08</f>
        <v/>
      </c>
      <c r="F5" s="49">
        <f>B5-E5</f>
        <v/>
      </c>
      <c r="G5" s="53">
        <f>F5/D5-1</f>
        <v/>
      </c>
    </row>
    <row r="6">
      <c r="A6" s="4" t="inlineStr">
        <is>
          <t>Decision Support</t>
        </is>
      </c>
      <c r="B6" s="49" t="n">
        <v>384.9</v>
      </c>
      <c r="C6" s="49" t="n">
        <v>37.47</v>
      </c>
      <c r="D6" s="49">
        <f>B6-C6</f>
        <v/>
      </c>
      <c r="E6" s="49">
        <f>C6*2.08</f>
        <v/>
      </c>
      <c r="F6" s="49">
        <f>B6-E6</f>
        <v/>
      </c>
      <c r="G6" s="53">
        <f>F6/D6-1</f>
        <v/>
      </c>
    </row>
    <row r="7">
      <c r="A7" s="4" t="inlineStr">
        <is>
          <t>Compliance Agent</t>
        </is>
      </c>
      <c r="B7" s="49" t="n">
        <v>438.3</v>
      </c>
      <c r="C7" s="49" t="n">
        <v>43.81</v>
      </c>
      <c r="D7" s="49">
        <f>B7-C7</f>
        <v/>
      </c>
      <c r="E7" s="49">
        <f>C7*2.08</f>
        <v/>
      </c>
      <c r="F7" s="49">
        <f>B7-E7</f>
        <v/>
      </c>
      <c r="G7" s="53">
        <f>F7/D7-1</f>
        <v/>
      </c>
    </row>
    <row r="8">
      <c r="A8" s="4" t="inlineStr">
        <is>
          <t>Personal Coach</t>
        </is>
      </c>
      <c r="B8" s="49" t="n">
        <v>334.85</v>
      </c>
      <c r="C8" s="49" t="n">
        <v>33.99</v>
      </c>
      <c r="D8" s="49">
        <f>B8-C8</f>
        <v/>
      </c>
      <c r="E8" s="49">
        <f>C8*2.08</f>
        <v/>
      </c>
      <c r="F8" s="49">
        <f>B8-E8</f>
        <v/>
      </c>
      <c r="G8" s="53">
        <f>F8/D8-1</f>
        <v/>
      </c>
    </row>
    <row r="9">
      <c r="A9" s="4" t="inlineStr">
        <is>
          <t>Full-Stack Agent</t>
        </is>
      </c>
      <c r="B9" s="49" t="n">
        <v>470.55</v>
      </c>
      <c r="C9" s="49" t="n">
        <v>46.62</v>
      </c>
      <c r="D9" s="49">
        <f>B9-C9</f>
        <v/>
      </c>
      <c r="E9" s="49">
        <f>C9*2.08</f>
        <v/>
      </c>
      <c r="F9" s="49">
        <f>B9-E9</f>
        <v/>
      </c>
      <c r="G9" s="53">
        <f>F9/D9-1</f>
        <v/>
      </c>
    </row>
    <row r="12">
      <c r="A12" s="10" t="inlineStr">
        <is>
          <t>KEY INSIGHT</t>
        </is>
      </c>
    </row>
    <row r="13">
      <c r="A13" s="54" t="inlineStr">
        <is>
          <t>Under half-competitor pricing, Mythos compresses margins but they remain well above R5 minimum.</t>
        </is>
      </c>
    </row>
    <row r="14">
      <c r="A14" s="54" t="inlineStr">
        <is>
          <t>Customer prices are anchored to competitors, NOT to LLM cost. This is a strategic advantage:</t>
        </is>
      </c>
    </row>
    <row r="15">
      <c r="A15" s="54" t="inlineStr">
        <is>
          <t>if competitors also face higher costs, their prices rise and our half-competitor anchor rises too.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2026-04-03T01:05:47Z</dcterms:created>
  <dcterms:modified xmlns:dcterms="http://purl.org/dc/terms/" xmlns:xsi="http://www.w3.org/2001/XMLSchema-instance" xsi:type="dcterms:W3CDTF">2026-04-03T01:05:47Z</dcterms:modified>
</cp:coreProperties>
</file>