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rapper Economics" sheetId="1" state="visible" r:id="rId3"/>
    <sheet name="Assessment Benchmarks" sheetId="2" state="visible" r:id="rId4"/>
    <sheet name="Tidings Model" sheetId="3" state="visible" r:id="rId5"/>
    <sheet name="Wrapper Revenue Models" sheetId="4" state="visible" r:id="rId6"/>
    <sheet name="Revised Recommend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<sst xmlns="http://schemas.openxmlformats.org/spreadsheetml/2006/main" count="337" uniqueCount="310">
  <si>
    <t xml:space="preserve">WRAPPER ECONOMICS — Evaluation Count by Product Type</t>
  </si>
  <si>
    <t xml:space="preserve">Product Type</t>
  </si>
  <si>
    <t xml:space="preserve">API Calls per Action</t>
  </si>
  <si>
    <t xml:space="preserve">Avg Cost per Action ($)</t>
  </si>
  <si>
    <t xml:space="preserve">Actions per Month</t>
  </si>
  <si>
    <t xml:space="preserve">Monthly API Calls</t>
  </si>
  <si>
    <t xml:space="preserve">Monthly Cost ($)</t>
  </si>
  <si>
    <t xml:space="preserve">Notes</t>
  </si>
  <si>
    <t xml:space="preserve">Tier 1: sage-reason (any depth)</t>
  </si>
  <si>
    <t xml:space="preserve">Single call = single eval</t>
  </si>
  <si>
    <t xml:space="preserve">Tier 2 Core: sage-score</t>
  </si>
  <si>
    <t xml:space="preserve">Single call, internal processing</t>
  </si>
  <si>
    <t xml:space="preserve">Tier 2 Core: sage-guard</t>
  </si>
  <si>
    <t xml:space="preserve">Cheapest call ($0.001)</t>
  </si>
  <si>
    <t xml:space="preserve">Tier 2 Core: sage-iterate</t>
  </si>
  <si>
    <t xml:space="preserve">Per iteration (chain of 2-5 typical)</t>
  </si>
  <si>
    <t xml:space="preserve">Tier 2 Core: sage-decide</t>
  </si>
  <si>
    <t xml:space="preserve">Scores 2-5 options in 1 call</t>
  </si>
  <si>
    <t xml:space="preserve">Tier 2 Marketplace: Context Templates</t>
  </si>
  <si>
    <t xml:space="preserve">Internal sage-reason call is transparent</t>
  </si>
  <si>
    <t xml:space="preserve">Tier 3 Wrapper: Guard + Score</t>
  </si>
  <si>
    <t xml:space="preserve">R5: consumes 2 calls from quota</t>
  </si>
  <si>
    <t xml:space="preserve">Tier 3 Wrapper: Guard + Score + Iterate</t>
  </si>
  <si>
    <t xml:space="preserve">R5: consumes 3 calls from quota</t>
  </si>
  <si>
    <t xml:space="preserve">WRAPPER IMPACT ON QUOTA CONSUMPTION</t>
  </si>
  <si>
    <t xml:space="preserve">Scenario</t>
  </si>
  <si>
    <t xml:space="preserve">Free Quota (100 calls/mo)</t>
  </si>
  <si>
    <t xml:space="preserve">Effective Actions</t>
  </si>
  <si>
    <t xml:space="preserve">Days of Usage</t>
  </si>
  <si>
    <t xml:space="preserve">Cost to SR per Action</t>
  </si>
  <si>
    <t xml:space="preserve">Revenue per Action (2× markup)</t>
  </si>
  <si>
    <t xml:space="preserve">Margin per Action</t>
  </si>
  <si>
    <t xml:space="preserve">Direct sage-guard only</t>
  </si>
  <si>
    <t xml:space="preserve">Direct sage-reason (quick)</t>
  </si>
  <si>
    <t xml:space="preserve">Direct sage-score</t>
  </si>
  <si>
    <t xml:space="preserve">Wrapper: guard+score (2 calls)</t>
  </si>
  <si>
    <t xml:space="preserve">Wrapper: guard+score+iterate (3 calls)</t>
  </si>
  <si>
    <t xml:space="preserve">KEY INSIGHT: Wrappers deliver 2-3× the value per action but consume 2-3× the quota. Rate limits should count wrapper invocations, not underlying API calls.</t>
  </si>
  <si>
    <t xml:space="preserve">RECOMMENDED RATE LIMITS BY PRODUCT TYPE</t>
  </si>
  <si>
    <t xml:space="preserve">Free Tier (actions/mo)</t>
  </si>
  <si>
    <t xml:space="preserve">Prokoptos (actions/mo)</t>
  </si>
  <si>
    <t xml:space="preserve">API Tier (actions/mo)</t>
  </si>
  <si>
    <t xml:space="preserve">Rationale</t>
  </si>
  <si>
    <t xml:space="preserve">sage-guard (gate check)</t>
  </si>
  <si>
    <t xml:space="preserve">Unlimited (metered)</t>
  </si>
  <si>
    <t xml:space="preserve">Cheapest call; high-volume gate use case</t>
  </si>
  <si>
    <t xml:space="preserve">sage-reason (any depth)</t>
  </si>
  <si>
    <t xml:space="preserve">Core evaluation; moderate cost</t>
  </si>
  <si>
    <t xml:space="preserve">sage-score / sage-decide</t>
  </si>
  <si>
    <t xml:space="preserve">Standard evaluation skills</t>
  </si>
  <si>
    <t xml:space="preserve">sage-iterate (per chain)</t>
  </si>
  <si>
    <t xml:space="preserve">Chains = 2-5 iterations; limit chains not calls</t>
  </si>
  <si>
    <t xml:space="preserve">Marketplace skills</t>
  </si>
  <si>
    <t xml:space="preserve">Context templates; 1:1 with sage-reason</t>
  </si>
  <si>
    <t xml:space="preserve">Tier 3 wrappers (future)</t>
  </si>
  <si>
    <t xml:space="preserve">Count as 1 action despite 2-3 internal calls</t>
  </si>
  <si>
    <t xml:space="preserve">ASSESSMENT API BENCHMARKING — Per-Evaluation Pricing Comparables</t>
  </si>
  <si>
    <t xml:space="preserve">WHY NOT AWS: SageReasoning delivers a complete reasoning assessment in 2-4 seconds. This is an "assessment" or "enrichment" model, not an "infrastructure" model. Rate limits and pricing should be benchmarked against tools that deliver per-unit analytical value.</t>
  </si>
  <si>
    <t xml:space="preserve">Platform</t>
  </si>
  <si>
    <t xml:space="preserve">Category</t>
  </si>
  <si>
    <t xml:space="preserve">Unit of Value</t>
  </si>
  <si>
    <t xml:space="preserve">Price per Unit</t>
  </si>
  <si>
    <t xml:space="preserve">Free Tier</t>
  </si>
  <si>
    <t xml:space="preserve">SageReasoning Comparison</t>
  </si>
  <si>
    <t xml:space="preserve">Hume AI (Expression)</t>
  </si>
  <si>
    <t xml:space="preserve">Emotion Assessment</t>
  </si>
  <si>
    <t xml:space="preserve">Per minute (audio)</t>
  </si>
  <si>
    <t xml:space="preserve">$0.064-$0.083/min</t>
  </si>
  <si>
    <t xml:space="preserve">10K chars (~10 min)</t>
  </si>
  <si>
    <t xml:space="preserve">SR: $0.001-$0.066/eval; faster, comparable price</t>
  </si>
  <si>
    <t xml:space="preserve">Hume AI (Text)</t>
  </si>
  <si>
    <t xml:space="preserve">Per word</t>
  </si>
  <si>
    <t xml:space="preserve">$0.00024/word</t>
  </si>
  <si>
    <t xml:space="preserve">Included in free tier</t>
  </si>
  <si>
    <t xml:space="preserve">SR evaluates decisions not sentiment; different value</t>
  </si>
  <si>
    <t xml:space="preserve">Clearbit</t>
  </si>
  <si>
    <t xml:space="preserve">Data Enrichment</t>
  </si>
  <si>
    <t xml:space="preserve">Per lookup</t>
  </si>
  <si>
    <t xml:space="preserve">~$0.36/lookup</t>
  </si>
  <si>
    <t xml:space="preserve">275 calls at $99/mo</t>
  </si>
  <si>
    <t xml:space="preserve">SR: $0.025/eval avg; 14× cheaper per unit</t>
  </si>
  <si>
    <t xml:space="preserve">Crystal Knows</t>
  </si>
  <si>
    <t xml:space="preserve">Personality Assessment</t>
  </si>
  <si>
    <t xml:space="preserve">Per profile</t>
  </si>
  <si>
    <t xml:space="preserve">Custom (est. $1-5)</t>
  </si>
  <si>
    <t xml:space="preserve">Limited free profiles</t>
  </si>
  <si>
    <t xml:space="preserve">SR: $0.033/eval; 30-150× cheaper per assessment</t>
  </si>
  <si>
    <t xml:space="preserve">Grammarly</t>
  </si>
  <si>
    <t xml:space="preserve">Writing Assessment</t>
  </si>
  <si>
    <t xml:space="preserve">Per seat/month</t>
  </si>
  <si>
    <t xml:space="preserve">$12-15/user/mo</t>
  </si>
  <si>
    <t xml:space="preserve">Basic free tier</t>
  </si>
  <si>
    <t xml:space="preserve">SR: usage-based not seat-based; fairer for agents</t>
  </si>
  <si>
    <t xml:space="preserve">Perspective API (Google)</t>
  </si>
  <si>
    <t xml:space="preserve">Content Scoring</t>
  </si>
  <si>
    <t xml:space="preserve">Per request</t>
  </si>
  <si>
    <t xml:space="preserve">Free (1 QPS limit)</t>
  </si>
  <si>
    <t xml:space="preserve">1 QPS rate limit</t>
  </si>
  <si>
    <t xml:space="preserve">SR: richer output per call; philosophical depth</t>
  </si>
  <si>
    <t xml:space="preserve">Guardrails AI</t>
  </si>
  <si>
    <t xml:space="preserve">LLM Guardrail</t>
  </si>
  <si>
    <t xml:space="preserve">Per guard check</t>
  </si>
  <si>
    <t xml:space="preserve">$0.005-$0.02</t>
  </si>
  <si>
    <t xml:space="preserve">OSS self-host</t>
  </si>
  <si>
    <t xml:space="preserve">SR sage-guard: $0.001; 5-20× cheaper</t>
  </si>
  <si>
    <t xml:space="preserve">Galileo Protect</t>
  </si>
  <si>
    <t xml:space="preserve">LLM Evaluation</t>
  </si>
  <si>
    <t xml:space="preserve">Per evaluation</t>
  </si>
  <si>
    <t xml:space="preserve">$0.01-$0.05</t>
  </si>
  <si>
    <t xml:space="preserve">1K free evals/mo</t>
  </si>
  <si>
    <t xml:space="preserve">SR: $0.001-$0.066 range; comparable</t>
  </si>
  <si>
    <t xml:space="preserve">NVIDIA NeMo Guardrails</t>
  </si>
  <si>
    <t xml:space="preserve">Self-hosted</t>
  </si>
  <si>
    <t xml:space="preserve">Compute cost only</t>
  </si>
  <si>
    <t xml:space="preserve">SR: managed service; no infra overhead</t>
  </si>
  <si>
    <t xml:space="preserve">BENCHMARKING CONCLUSION</t>
  </si>
  <si>
    <t xml:space="preserve">Metric</t>
  </si>
  <si>
    <t xml:space="preserve">Infrastructure APIs (AWS etc.)</t>
  </si>
  <si>
    <t xml:space="preserve">Assessment APIs (Hume, Clearbit)</t>
  </si>
  <si>
    <t xml:space="preserve">SageReasoning Position</t>
  </si>
  <si>
    <t xml:space="preserve">Value delivery time</t>
  </si>
  <si>
    <t xml:space="preserve">Continuous (streaming)</t>
  </si>
  <si>
    <t xml:space="preserve">2-10 seconds per unit</t>
  </si>
  <si>
    <t xml:space="preserve">2-4 seconds per evaluation</t>
  </si>
  <si>
    <t xml:space="preserve">Unit of value</t>
  </si>
  <si>
    <t xml:space="preserve">Uptime / throughput</t>
  </si>
  <si>
    <t xml:space="preserve">Assessment / enrichment result</t>
  </si>
  <si>
    <t xml:space="preserve">Reasoning quality assessment</t>
  </si>
  <si>
    <t xml:space="preserve">Pricing model</t>
  </si>
  <si>
    <t xml:space="preserve">Per-second / per-GB</t>
  </si>
  <si>
    <t xml:space="preserve">Per-evaluation / per-lookup</t>
  </si>
  <si>
    <t xml:space="preserve">Per-evaluation (R5: 2× markup)</t>
  </si>
  <si>
    <t xml:space="preserve">Free tier purpose</t>
  </si>
  <si>
    <t xml:space="preserve">Try before scaling</t>
  </si>
  <si>
    <t xml:space="preserve">Test quality of assessment</t>
  </si>
  <si>
    <t xml:space="preserve">Test reasoning depth + quality</t>
  </si>
  <si>
    <t xml:space="preserve">Rate limit basis</t>
  </si>
  <si>
    <t xml:space="preserve">QPS / concurrent</t>
  </si>
  <si>
    <t xml:space="preserve">Monthly quota / daily cap</t>
  </si>
  <si>
    <t xml:space="preserve">Monthly actions by product type</t>
  </si>
  <si>
    <t xml:space="preserve">Appropriate benchmark?</t>
  </si>
  <si>
    <t xml:space="preserve">NO — wrong category</t>
  </si>
  <si>
    <t xml:space="preserve">YES — same value model</t>
  </si>
  <si>
    <t xml:space="preserve">Closest to Hume + Clearbit hybrid</t>
  </si>
  <si>
    <t xml:space="preserve">TIDINGS MODEL — Voluntary Donation Economics for Free Human Experience</t>
  </si>
  <si>
    <t xml:space="preserve">DONATION PLATFORM BENCHMARKS</t>
  </si>
  <si>
    <t xml:space="preserve">Platform / Model</t>
  </si>
  <si>
    <t xml:space="preserve">Donor Rate</t>
  </si>
  <si>
    <t xml:space="preserve">Avg Donation</t>
  </si>
  <si>
    <t xml:space="preserve">Context</t>
  </si>
  <si>
    <t xml:space="preserve">Annual per Donor</t>
  </si>
  <si>
    <t xml:space="preserve">Source</t>
  </si>
  <si>
    <t xml:space="preserve">Wikipedia</t>
  </si>
  <si>
    <t xml:space="preserve">Mass audience, annual campaigns</t>
  </si>
  <si>
    <t xml:space="preserve">Wikimedia FY23-24</t>
  </si>
  <si>
    <t xml:space="preserve">Patreon (avg creator)</t>
  </si>
  <si>
    <t xml:space="preserve">Fan-to-patron conversion</t>
  </si>
  <si>
    <t xml:space="preserve">Patreon Statistics 2025</t>
  </si>
  <si>
    <t xml:space="preserve">Patreon (education niche)</t>
  </si>
  <si>
    <t xml:space="preserve">Higher engagement in learning</t>
  </si>
  <si>
    <t xml:space="preserve">Creator Economy Stats</t>
  </si>
  <si>
    <t xml:space="preserve">Buy Me a Coffee</t>
  </si>
  <si>
    <t xml:space="preserve">Visitor-to-donor (low intent)</t>
  </si>
  <si>
    <t xml:space="preserve">BMAC platform data</t>
  </si>
  <si>
    <t xml:space="preserve">Monthly donors (general)</t>
  </si>
  <si>
    <t xml:space="preserve">Monthly donors give 42% more yearly</t>
  </si>
  <si>
    <t xml:space="preserve">Fundraising research</t>
  </si>
  <si>
    <t xml:space="preserve">Niche philosophy community (est.)</t>
  </si>
  <si>
    <t xml:space="preserve">High-alignment, shared values</t>
  </si>
  <si>
    <t xml:space="preserve">Estimated (Stoic alignment)</t>
  </si>
  <si>
    <t xml:space="preserve">HUMAN-SIDE COST MODEL</t>
  </si>
  <si>
    <t xml:space="preserve">Parameter</t>
  </si>
  <si>
    <t xml:space="preserve">Conservative</t>
  </si>
  <si>
    <t xml:space="preserve">Base</t>
  </si>
  <si>
    <t xml:space="preserve">Optimistic</t>
  </si>
  <si>
    <t xml:space="preserve">Free human daily actions</t>
  </si>
  <si>
    <t xml:space="preserve">Max allowed: 5/day</t>
  </si>
  <si>
    <t xml:space="preserve">Active days per month</t>
  </si>
  <si>
    <t xml:space="preserve">Not all users active daily</t>
  </si>
  <si>
    <t xml:space="preserve">Actions per user per month</t>
  </si>
  <si>
    <t xml:space="preserve">Formula: daily × days</t>
  </si>
  <si>
    <t xml:space="preserve">Avg cost per action (sage-guard)</t>
  </si>
  <si>
    <t xml:space="preserve">If free tier = guard only</t>
  </si>
  <si>
    <t xml:space="preserve">Avg cost per action (sage-reason quick)</t>
  </si>
  <si>
    <t xml:space="preserve">If free tier = full quick eval</t>
  </si>
  <si>
    <t xml:space="preserve">Avg cost per action (blended)</t>
  </si>
  <si>
    <t xml:space="preserve">Mix of guard + reason</t>
  </si>
  <si>
    <t xml:space="preserve">Cost per user per month</t>
  </si>
  <si>
    <t xml:space="preserve">Formula: actions × cost</t>
  </si>
  <si>
    <t xml:space="preserve">TIDINGS VIABILITY — Revenue per User vs Cost per User</t>
  </si>
  <si>
    <t xml:space="preserve">Avg Monthly Donation</t>
  </si>
  <si>
    <t xml:space="preserve">Revenue per MAU</t>
  </si>
  <si>
    <t xml:space="preserve">Cost per MAU (Base)</t>
  </si>
  <si>
    <t xml:space="preserve">Surplus / Deficit per MAU</t>
  </si>
  <si>
    <t xml:space="preserve">Wikipedia-like (mass, low)</t>
  </si>
  <si>
    <t xml:space="preserve">Patreon-like (engaged)</t>
  </si>
  <si>
    <t xml:space="preserve">Niche philosophy (aligned)</t>
  </si>
  <si>
    <t xml:space="preserve">Optimistic Stoic community</t>
  </si>
  <si>
    <t xml:space="preserve">Guard-only free tier + Wikipedia</t>
  </si>
  <si>
    <t xml:space="preserve">Guard-only free tier + niche</t>
  </si>
  <si>
    <t xml:space="preserve">Guard-only free tier + Stoic</t>
  </si>
  <si>
    <t xml:space="preserve">KEY INSIGHT: The tidings model becomes viable when the free tier is limited to sage-guard ($0.001/call). At guard-only pricing, even Wikipedia-level donation rates (2%) cover costs. With niche community uplift (5-8%), the model generates surplus.</t>
  </si>
  <si>
    <t xml:space="preserve">TIDINGS SCALE PROJECTION — Monthly Active Users vs Revenue</t>
  </si>
  <si>
    <t xml:space="preserve">MAU</t>
  </si>
  <si>
    <t xml:space="preserve">Monthly Tidings Revenue</t>
  </si>
  <si>
    <t xml:space="preserve">Monthly Cost</t>
  </si>
  <si>
    <t xml:space="preserve">Net Position</t>
  </si>
  <si>
    <t xml:space="preserve">Annual Net</t>
  </si>
  <si>
    <t xml:space="preserve">Guard-only + Niche (5%, $15)</t>
  </si>
  <si>
    <t xml:space="preserve">WRAPPER REVENUE MODELS — Market Data &amp; Conversion Rates</t>
  </si>
  <si>
    <t xml:space="preserve">Model Type</t>
  </si>
  <si>
    <t xml:space="preserve">Revenue Structure</t>
  </si>
  <si>
    <t xml:space="preserve">Typical Conversion</t>
  </si>
  <si>
    <t xml:space="preserve">SageReasoning Application</t>
  </si>
  <si>
    <t xml:space="preserve">Risk Level</t>
  </si>
  <si>
    <t xml:space="preserve">Open-source wrapper + managed API</t>
  </si>
  <si>
    <t xml:space="preserve">Free wrapper; paid API calls</t>
  </si>
  <si>
    <t xml:space="preserve">5-15% of wrapper users convert to paid API</t>
  </si>
  <si>
    <t xml:space="preserve">R11 pattern: open-source checkpoint pattern, paid evaluation server-side</t>
  </si>
  <si>
    <t xml:space="preserve">LOW — proven OSS model</t>
  </si>
  <si>
    <t xml:space="preserve">Freemium wrapper</t>
  </si>
  <si>
    <t xml:space="preserve">Basic free; premium features paid</t>
  </si>
  <si>
    <t xml:space="preserve">2-5% free-to-paid</t>
  </si>
  <si>
    <t xml:space="preserve">Free: sage-guard gate; Paid: full evaluation stack</t>
  </si>
  <si>
    <t xml:space="preserve">LOW — standard SaaS funnel</t>
  </si>
  <si>
    <t xml:space="preserve">Marketplace wrapper</t>
  </si>
  <si>
    <t xml:space="preserve">Revenue share on wrapper installs</t>
  </si>
  <si>
    <t xml:space="preserve">10-20% marketplace discovery rate</t>
  </si>
  <si>
    <t xml:space="preserve">Context template skills discoverable via /skills endpoint</t>
  </si>
  <si>
    <t xml:space="preserve">MEDIUM — requires marketplace traffic</t>
  </si>
  <si>
    <t xml:space="preserve">Embedded wrapper (B2B)</t>
  </si>
  <si>
    <t xml:space="preserve">White-label API usage</t>
  </si>
  <si>
    <t xml:space="preserve">80-90% retention once integrated</t>
  </si>
  <si>
    <t xml:space="preserve">R13: embedding platforms use sage-reason internally</t>
  </si>
  <si>
    <t xml:space="preserve">LOW — high lock-in once adopted</t>
  </si>
  <si>
    <t xml:space="preserve">Developer-built wrapper</t>
  </si>
  <si>
    <t xml:space="preserve">Community contributes wrappers</t>
  </si>
  <si>
    <t xml:space="preserve">1-3% of community becomes contributors</t>
  </si>
  <si>
    <t xml:space="preserve">R11: community can build wrappers using checkpoint pattern</t>
  </si>
  <si>
    <t xml:space="preserve">HIGH — requires dev community</t>
  </si>
  <si>
    <t xml:space="preserve">Bundled wrapper pricing</t>
  </si>
  <si>
    <t xml:space="preserve">Single price for guard+score+iterate</t>
  </si>
  <si>
    <t xml:space="preserve">15-25% prefer bundles over a la carte</t>
  </si>
  <si>
    <t xml:space="preserve">Wrapper invocation = 1 action at bundled price</t>
  </si>
  <si>
    <t xml:space="preserve">MEDIUM — needs pricing design</t>
  </si>
  <si>
    <t xml:space="preserve">AI WRAPPER MARKET CONTEXT</t>
  </si>
  <si>
    <t xml:space="preserve">Data Point</t>
  </si>
  <si>
    <t xml:space="preserve">Value</t>
  </si>
  <si>
    <t xml:space="preserve">Implication for SageReasoning</t>
  </si>
  <si>
    <t xml:space="preserve">AI wrapper startups predicted to fail</t>
  </si>
  <si>
    <t xml:space="preserve">80%</t>
  </si>
  <si>
    <t xml:space="preserve">Industry analysis 2024-25</t>
  </si>
  <si>
    <t xml:space="preserve">Moat matters; SR has philosophical IP (R4)</t>
  </si>
  <si>
    <t xml:space="preserve">Wrapper survival factor</t>
  </si>
  <si>
    <t xml:space="preserve">Domain expertise depth</t>
  </si>
  <si>
    <t xml:space="preserve">VC analysis</t>
  </si>
  <si>
    <t xml:space="preserve">SR has 8 JSON data files + 4-stage eval = deep domain</t>
  </si>
  <si>
    <t xml:space="preserve">API-first revenue vs wrapper revenue</t>
  </si>
  <si>
    <t xml:space="preserve">70:30 typical split</t>
  </si>
  <si>
    <t xml:space="preserve">SaaS benchmarks</t>
  </si>
  <si>
    <t xml:space="preserve">API revenue should lead; wrappers drive adoption</t>
  </si>
  <si>
    <t xml:space="preserve">Wrapper user → paid API conversion</t>
  </si>
  <si>
    <t xml:space="preserve">5-15%</t>
  </si>
  <si>
    <t xml:space="preserve">OSS conversion benchmarks</t>
  </si>
  <si>
    <t xml:space="preserve">Conservative: 5% of wrapper users become API customers</t>
  </si>
  <si>
    <t xml:space="preserve">Average wrapper lifetime</t>
  </si>
  <si>
    <t xml:space="preserve">6-18 months</t>
  </si>
  <si>
    <t xml:space="preserve">Startup data</t>
  </si>
  <si>
    <t xml:space="preserve">Context templates have longer life (domain-specific)</t>
  </si>
  <si>
    <t xml:space="preserve">Credits model adoption (SaaS)</t>
  </si>
  <si>
    <t xml:space="preserve">126% YoY growth</t>
  </si>
  <si>
    <t xml:space="preserve">PricingSaaS 500 Index</t>
  </si>
  <si>
    <t xml:space="preserve">Consider credits model for wrapper bundling</t>
  </si>
  <si>
    <t xml:space="preserve">REVISED RECOMMENDATIONS — Incorporating Wrapper Economics, Assessment Benchmarks &amp; Tidings Model</t>
  </si>
  <si>
    <t xml:space="preserve">Priority</t>
  </si>
  <si>
    <t xml:space="preserve">Recommendation</t>
  </si>
  <si>
    <t xml:space="preserve">Detail</t>
  </si>
  <si>
    <t xml:space="preserve">Impact</t>
  </si>
  <si>
    <t xml:space="preserve">P1</t>
  </si>
  <si>
    <t xml:space="preserve">Count wrapper invocations as single actions</t>
  </si>
  <si>
    <t xml:space="preserve">When Tier 3 wrappers launch, a guard+score+iterate sequence should consume 1 "action" from the rate limit, not 3 separate calls. Charge a bundled wrapper price.</t>
  </si>
  <si>
    <t xml:space="preserve">HIGH</t>
  </si>
  <si>
    <t xml:space="preserve">P2</t>
  </si>
  <si>
    <t xml:space="preserve">Vary rate limits by product type</t>
  </si>
  <si>
    <t xml:space="preserve">sage-guard: 500/mo free (cheapest). sage-reason/score: 100/mo free. sage-iterate: 50 chains/mo free. This reflects actual cost structure.</t>
  </si>
  <si>
    <t xml:space="preserve">P3</t>
  </si>
  <si>
    <t xml:space="preserve">Benchmark against assessment APIs not infrastructure</t>
  </si>
  <si>
    <t xml:space="preserve">Position pricing against Hume AI, Clearbit, Crystal Knows — per-evaluation tools that deliver analytical value in seconds. Not AWS/Azure.</t>
  </si>
  <si>
    <t xml:space="preserve">P4</t>
  </si>
  <si>
    <t xml:space="preserve">Design free human tier around sage-guard</t>
  </si>
  <si>
    <t xml:space="preserve">If pursuing tidings model: free humans get unlimited sage-guard (gate checks) + limited sage-reason. Cost per user drops to $0.03-0.06/mo, making donation-based sustainability viable.</t>
  </si>
  <si>
    <t xml:space="preserve">P5</t>
  </si>
  <si>
    <t xml:space="preserve">Implement tidings with suggested amounts</t>
  </si>
  <si>
    <t xml:space="preserve">Offer $5 / $10 / $25 monthly tiers. Frame as prokopton contribution (Stoic practice). Target 5% conversion at $15 avg = $0.75/MAU revenue.</t>
  </si>
  <si>
    <t xml:space="preserve">MEDIUM</t>
  </si>
  <si>
    <t xml:space="preserve">P6</t>
  </si>
  <si>
    <t xml:space="preserve">Add wrapper bundled pricing to API tier</t>
  </si>
  <si>
    <t xml:space="preserve">Offer wrapper bundles: guard+score at $0.05 (vs $0.034 a la carte) with convenience premium. guard+score+iterate at $0.08 (vs $0.067).</t>
  </si>
  <si>
    <t xml:space="preserve">P7</t>
  </si>
  <si>
    <t xml:space="preserve">Credits model for wrapper consumption</t>
  </si>
  <si>
    <t xml:space="preserve">Adopt credits system (126% YoY growth in SaaS). 1 credit = 1 action regardless of call count. Wrappers consume 1 credit. Simpler developer experience.</t>
  </si>
  <si>
    <t xml:space="preserve">P8</t>
  </si>
  <si>
    <t xml:space="preserve">Track wrapper → paid API conversion funnel</t>
  </si>
  <si>
    <t xml:space="preserve">Measure: wrapper downloads → API key signup → first paid call → monthly active. Target 5-15% conversion at each stage.</t>
  </si>
  <si>
    <t xml:space="preserve">P9</t>
  </si>
  <si>
    <t xml:space="preserve">Position sage-guard as loss leader</t>
  </si>
  <si>
    <t xml:space="preserve">At $0.001/call ($0.002 to developer), sage-guard is cheaper than any competitor. Use as entry point; upsell to full evaluation stack.</t>
  </si>
  <si>
    <t xml:space="preserve">P10</t>
  </si>
  <si>
    <t xml:space="preserve">Separate human and agent rate limit pools</t>
  </si>
  <si>
    <t xml:space="preserve">Human actions (web UI) and agent actions (API) should have independent quotas. This enables tidings model for humans while maintaining usage-based pricing for agents.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</si>
</sst>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0"/>
    <numFmt numFmtId="166" formatCode="\$#,##0.00"/>
    <numFmt numFmtId="167" formatCode="0.0"/>
    <numFmt numFmtId="168" formatCode="0.0%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i val="true"/>
      <sz val="10"/>
      <color rgb="FFB71C1C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E8F5E9"/>
      </patternFill>
    </fill>
    <fill>
      <patternFill patternType="solid">
        <fgColor rgb="FFFFCDD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7" min="6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n">
        <v>1</v>
      </c>
      <c r="C4" s="5" t="n">
        <v>0.025</v>
      </c>
      <c r="D4" s="4" t="n">
        <v>200</v>
      </c>
      <c r="E4" s="6" t="n">
        <f aca="false">B4*D4</f>
        <v>200</v>
      </c>
      <c r="F4" s="7" t="n">
        <f aca="false">C4*D4</f>
        <v>5</v>
      </c>
      <c r="G4" s="3" t="s">
        <v>9</v>
      </c>
    </row>
    <row r="5" customFormat="false" ht="23.85" hidden="false" customHeight="false" outlineLevel="0" collapsed="false">
      <c r="A5" s="3" t="s">
        <v>10</v>
      </c>
      <c r="B5" s="4" t="n">
        <v>1</v>
      </c>
      <c r="C5" s="5" t="n">
        <v>0.033</v>
      </c>
      <c r="D5" s="4" t="n">
        <v>150</v>
      </c>
      <c r="E5" s="6" t="n">
        <f aca="false">B5*D5</f>
        <v>150</v>
      </c>
      <c r="F5" s="7" t="n">
        <f aca="false">C5*D5</f>
        <v>4.95</v>
      </c>
      <c r="G5" s="3" t="s">
        <v>11</v>
      </c>
    </row>
    <row r="6" customFormat="false" ht="15" hidden="false" customHeight="false" outlineLevel="0" collapsed="false">
      <c r="A6" s="3" t="s">
        <v>12</v>
      </c>
      <c r="B6" s="4" t="n">
        <v>1</v>
      </c>
      <c r="C6" s="5" t="n">
        <v>0.001</v>
      </c>
      <c r="D6" s="4" t="n">
        <v>500</v>
      </c>
      <c r="E6" s="6" t="n">
        <f aca="false">B6*D6</f>
        <v>500</v>
      </c>
      <c r="F6" s="7" t="n">
        <f aca="false">C6*D6</f>
        <v>0.5</v>
      </c>
      <c r="G6" s="3" t="s">
        <v>13</v>
      </c>
    </row>
    <row r="7" customFormat="false" ht="23.85" hidden="false" customHeight="false" outlineLevel="0" collapsed="false">
      <c r="A7" s="3" t="s">
        <v>14</v>
      </c>
      <c r="B7" s="4" t="n">
        <v>1</v>
      </c>
      <c r="C7" s="5" t="n">
        <v>0.033</v>
      </c>
      <c r="D7" s="4" t="n">
        <v>100</v>
      </c>
      <c r="E7" s="6" t="n">
        <f aca="false">B7*D7</f>
        <v>100</v>
      </c>
      <c r="F7" s="7" t="n">
        <f aca="false">C7*D7</f>
        <v>3.3</v>
      </c>
      <c r="G7" s="3" t="s">
        <v>15</v>
      </c>
    </row>
    <row r="8" customFormat="false" ht="23.85" hidden="false" customHeight="false" outlineLevel="0" collapsed="false">
      <c r="A8" s="3" t="s">
        <v>16</v>
      </c>
      <c r="B8" s="4" t="n">
        <v>1</v>
      </c>
      <c r="C8" s="5" t="n">
        <v>0.033</v>
      </c>
      <c r="D8" s="4" t="n">
        <v>80</v>
      </c>
      <c r="E8" s="6" t="n">
        <f aca="false">B8*D8</f>
        <v>80</v>
      </c>
      <c r="F8" s="7" t="n">
        <f aca="false">C8*D8</f>
        <v>2.64</v>
      </c>
      <c r="G8" s="3" t="s">
        <v>17</v>
      </c>
    </row>
    <row r="9" customFormat="false" ht="23.85" hidden="false" customHeight="false" outlineLevel="0" collapsed="false">
      <c r="A9" s="3" t="s">
        <v>18</v>
      </c>
      <c r="B9" s="4" t="n">
        <v>1</v>
      </c>
      <c r="C9" s="5" t="n">
        <v>0.033</v>
      </c>
      <c r="D9" s="4" t="n">
        <v>120</v>
      </c>
      <c r="E9" s="6" t="n">
        <f aca="false">B9*D9</f>
        <v>120</v>
      </c>
      <c r="F9" s="7" t="n">
        <f aca="false">C9*D9</f>
        <v>3.96</v>
      </c>
      <c r="G9" s="3" t="s">
        <v>19</v>
      </c>
    </row>
    <row r="10" customFormat="false" ht="23.85" hidden="false" customHeight="false" outlineLevel="0" collapsed="false">
      <c r="A10" s="3" t="s">
        <v>20</v>
      </c>
      <c r="B10" s="4" t="n">
        <v>2</v>
      </c>
      <c r="C10" s="5" t="n">
        <v>0.034</v>
      </c>
      <c r="D10" s="4" t="n">
        <v>100</v>
      </c>
      <c r="E10" s="6" t="n">
        <f aca="false">B10*D10</f>
        <v>200</v>
      </c>
      <c r="F10" s="7" t="n">
        <f aca="false">C10*D10</f>
        <v>3.4</v>
      </c>
      <c r="G10" s="3" t="s">
        <v>21</v>
      </c>
    </row>
    <row r="11" customFormat="false" ht="23.85" hidden="false" customHeight="false" outlineLevel="0" collapsed="false">
      <c r="A11" s="3" t="s">
        <v>22</v>
      </c>
      <c r="B11" s="4" t="n">
        <v>3</v>
      </c>
      <c r="C11" s="5" t="n">
        <v>0.067</v>
      </c>
      <c r="D11" s="4" t="n">
        <v>60</v>
      </c>
      <c r="E11" s="6" t="n">
        <f aca="false">B11*D11</f>
        <v>180</v>
      </c>
      <c r="F11" s="7" t="n">
        <f aca="false">C11*D11</f>
        <v>4.02</v>
      </c>
      <c r="G11" s="3" t="s">
        <v>23</v>
      </c>
    </row>
    <row r="14" customFormat="false" ht="15" hidden="false" customHeight="false" outlineLevel="0" collapsed="false">
      <c r="A14" s="8" t="s">
        <v>24</v>
      </c>
      <c r="B14" s="8"/>
      <c r="C14" s="8"/>
      <c r="D14" s="8"/>
      <c r="E14" s="8"/>
      <c r="F14" s="8"/>
      <c r="G14" s="8"/>
    </row>
    <row r="16" customFormat="false" ht="26.85" hidden="false" customHeight="false" outlineLevel="0" collapsed="false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</row>
    <row r="17" customFormat="false" ht="15" hidden="false" customHeight="false" outlineLevel="0" collapsed="false">
      <c r="A17" s="3" t="s">
        <v>32</v>
      </c>
      <c r="B17" s="3" t="n">
        <v>100</v>
      </c>
      <c r="C17" s="6" t="n">
        <f aca="false">B17</f>
        <v>100</v>
      </c>
      <c r="D17" s="9" t="n">
        <f aca="false">C17/5</f>
        <v>20</v>
      </c>
      <c r="E17" s="5" t="n">
        <v>0.001</v>
      </c>
      <c r="F17" s="10" t="n">
        <f aca="false">E17*2</f>
        <v>0.002</v>
      </c>
      <c r="G17" s="10" t="n">
        <f aca="false">F17-E17</f>
        <v>0.001</v>
      </c>
    </row>
    <row r="18" customFormat="false" ht="15" hidden="false" customHeight="false" outlineLevel="0" collapsed="false">
      <c r="A18" s="3" t="s">
        <v>33</v>
      </c>
      <c r="B18" s="3" t="n">
        <v>100</v>
      </c>
      <c r="C18" s="6" t="n">
        <f aca="false">B18</f>
        <v>100</v>
      </c>
      <c r="D18" s="9" t="n">
        <f aca="false">C18/5</f>
        <v>20</v>
      </c>
      <c r="E18" s="5" t="n">
        <v>0.025</v>
      </c>
      <c r="F18" s="10" t="n">
        <f aca="false">E18*2</f>
        <v>0.05</v>
      </c>
      <c r="G18" s="10" t="n">
        <f aca="false">F18-E18</f>
        <v>0.025</v>
      </c>
    </row>
    <row r="19" customFormat="false" ht="15" hidden="false" customHeight="false" outlineLevel="0" collapsed="false">
      <c r="A19" s="3" t="s">
        <v>34</v>
      </c>
      <c r="B19" s="3" t="n">
        <v>100</v>
      </c>
      <c r="C19" s="6" t="n">
        <f aca="false">B19</f>
        <v>100</v>
      </c>
      <c r="D19" s="9" t="n">
        <f aca="false">C19/5</f>
        <v>20</v>
      </c>
      <c r="E19" s="5" t="n">
        <v>0.033</v>
      </c>
      <c r="F19" s="10" t="n">
        <f aca="false">E19*2</f>
        <v>0.066</v>
      </c>
      <c r="G19" s="10" t="n">
        <f aca="false">F19-E19</f>
        <v>0.033</v>
      </c>
    </row>
    <row r="20" customFormat="false" ht="15" hidden="false" customHeight="false" outlineLevel="0" collapsed="false">
      <c r="A20" s="3" t="s">
        <v>35</v>
      </c>
      <c r="B20" s="3" t="n">
        <v>100</v>
      </c>
      <c r="C20" s="6" t="n">
        <f aca="false">B20/2</f>
        <v>50</v>
      </c>
      <c r="D20" s="9" t="n">
        <f aca="false">C20/5</f>
        <v>10</v>
      </c>
      <c r="E20" s="5" t="n">
        <v>0.034</v>
      </c>
      <c r="F20" s="10" t="n">
        <f aca="false">E20*2</f>
        <v>0.068</v>
      </c>
      <c r="G20" s="10" t="n">
        <f aca="false">F20-E20</f>
        <v>0.034</v>
      </c>
    </row>
    <row r="21" customFormat="false" ht="23.85" hidden="false" customHeight="false" outlineLevel="0" collapsed="false">
      <c r="A21" s="3" t="s">
        <v>36</v>
      </c>
      <c r="B21" s="3" t="n">
        <v>100</v>
      </c>
      <c r="C21" s="6" t="n">
        <f aca="false">B21/3</f>
        <v>33.3333333333333</v>
      </c>
      <c r="D21" s="9" t="n">
        <f aca="false">C21/5</f>
        <v>6.66666666666667</v>
      </c>
      <c r="E21" s="5" t="n">
        <v>0.067</v>
      </c>
      <c r="F21" s="10" t="n">
        <f aca="false">E21*2</f>
        <v>0.134</v>
      </c>
      <c r="G21" s="10" t="n">
        <f aca="false">F21-E21</f>
        <v>0.067</v>
      </c>
    </row>
    <row r="23" customFormat="false" ht="15" hidden="false" customHeight="false" outlineLevel="0" collapsed="false">
      <c r="A23" s="11" t="s">
        <v>37</v>
      </c>
      <c r="B23" s="11"/>
      <c r="C23" s="11"/>
      <c r="D23" s="11"/>
      <c r="E23" s="11"/>
      <c r="F23" s="11"/>
      <c r="G23" s="11"/>
    </row>
    <row r="25" customFormat="false" ht="15" hidden="false" customHeight="false" outlineLevel="0" collapsed="false">
      <c r="A25" s="8" t="s">
        <v>38</v>
      </c>
      <c r="B25" s="8"/>
      <c r="C25" s="8"/>
      <c r="D25" s="8"/>
      <c r="E25" s="8"/>
      <c r="F25" s="8"/>
      <c r="G25" s="8"/>
    </row>
    <row r="27" customFormat="false" ht="26.85" hidden="false" customHeight="false" outlineLevel="0" collapsed="false">
      <c r="A27" s="2" t="s">
        <v>1</v>
      </c>
      <c r="B27" s="2" t="s">
        <v>39</v>
      </c>
      <c r="C27" s="2" t="s">
        <v>40</v>
      </c>
      <c r="D27" s="2" t="s">
        <v>41</v>
      </c>
      <c r="E27" s="2" t="s">
        <v>42</v>
      </c>
    </row>
    <row r="28" customFormat="false" ht="35.05" hidden="false" customHeight="false" outlineLevel="0" collapsed="false">
      <c r="A28" s="3" t="s">
        <v>43</v>
      </c>
      <c r="B28" s="4" t="n">
        <v>500</v>
      </c>
      <c r="C28" s="4" t="n">
        <v>5000</v>
      </c>
      <c r="D28" s="3" t="s">
        <v>44</v>
      </c>
      <c r="E28" s="3" t="s">
        <v>45</v>
      </c>
    </row>
    <row r="29" customFormat="false" ht="23.85" hidden="false" customHeight="false" outlineLevel="0" collapsed="false">
      <c r="A29" s="3" t="s">
        <v>46</v>
      </c>
      <c r="B29" s="4" t="n">
        <v>100</v>
      </c>
      <c r="C29" s="4" t="n">
        <v>1000</v>
      </c>
      <c r="D29" s="3" t="s">
        <v>44</v>
      </c>
      <c r="E29" s="3" t="s">
        <v>47</v>
      </c>
    </row>
    <row r="30" customFormat="false" ht="23.85" hidden="false" customHeight="false" outlineLevel="0" collapsed="false">
      <c r="A30" s="3" t="s">
        <v>48</v>
      </c>
      <c r="B30" s="4" t="n">
        <v>100</v>
      </c>
      <c r="C30" s="4" t="n">
        <v>1000</v>
      </c>
      <c r="D30" s="3" t="s">
        <v>44</v>
      </c>
      <c r="E30" s="3" t="s">
        <v>49</v>
      </c>
    </row>
    <row r="31" customFormat="false" ht="35.05" hidden="false" customHeight="false" outlineLevel="0" collapsed="false">
      <c r="A31" s="3" t="s">
        <v>50</v>
      </c>
      <c r="B31" s="4" t="n">
        <v>50</v>
      </c>
      <c r="C31" s="4" t="n">
        <v>500</v>
      </c>
      <c r="D31" s="3" t="s">
        <v>44</v>
      </c>
      <c r="E31" s="3" t="s">
        <v>51</v>
      </c>
    </row>
    <row r="32" customFormat="false" ht="23.85" hidden="false" customHeight="false" outlineLevel="0" collapsed="false">
      <c r="A32" s="3" t="s">
        <v>52</v>
      </c>
      <c r="B32" s="4" t="n">
        <v>100</v>
      </c>
      <c r="C32" s="4" t="n">
        <v>1000</v>
      </c>
      <c r="D32" s="3" t="s">
        <v>44</v>
      </c>
      <c r="E32" s="3" t="s">
        <v>53</v>
      </c>
    </row>
    <row r="33" customFormat="false" ht="35.05" hidden="false" customHeight="false" outlineLevel="0" collapsed="false">
      <c r="A33" s="3" t="s">
        <v>54</v>
      </c>
      <c r="B33" s="4" t="n">
        <v>50</v>
      </c>
      <c r="C33" s="4" t="n">
        <v>500</v>
      </c>
      <c r="D33" s="3" t="s">
        <v>44</v>
      </c>
      <c r="E33" s="3" t="s">
        <v>55</v>
      </c>
    </row>
  </sheetData>
  <mergeCells count="4">
    <mergeCell ref="A1:G1"/>
    <mergeCell ref="A14:G14"/>
    <mergeCell ref="A23:G23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</row>
    <row r="3" customFormat="false" ht="45" hidden="false" customHeight="true" outlineLevel="0" collapsed="false">
      <c r="A3" s="12" t="s">
        <v>57</v>
      </c>
      <c r="B3" s="12"/>
      <c r="C3" s="12"/>
      <c r="D3" s="12"/>
      <c r="E3" s="12"/>
      <c r="F3" s="12"/>
    </row>
    <row r="5" customFormat="false" ht="26.85" hidden="false" customHeight="false" outlineLevel="0" collapsed="false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</row>
    <row r="6" customFormat="false" ht="23.85" hidden="false" customHeight="false" outlineLevel="0" collapsed="false">
      <c r="A6" s="3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</row>
    <row r="7" customFormat="false" ht="23.85" hidden="false" customHeight="false" outlineLevel="0" collapsed="false">
      <c r="A7" s="3" t="s">
        <v>70</v>
      </c>
      <c r="B7" s="3" t="s">
        <v>65</v>
      </c>
      <c r="C7" s="3" t="s">
        <v>71</v>
      </c>
      <c r="D7" s="3" t="s">
        <v>72</v>
      </c>
      <c r="E7" s="3" t="s">
        <v>73</v>
      </c>
      <c r="F7" s="3" t="s">
        <v>74</v>
      </c>
    </row>
    <row r="8" customFormat="false" ht="23.85" hidden="false" customHeight="false" outlineLevel="0" collapsed="false">
      <c r="A8" s="3" t="s">
        <v>75</v>
      </c>
      <c r="B8" s="3" t="s">
        <v>76</v>
      </c>
      <c r="C8" s="3" t="s">
        <v>77</v>
      </c>
      <c r="D8" s="3" t="s">
        <v>78</v>
      </c>
      <c r="E8" s="3" t="s">
        <v>79</v>
      </c>
      <c r="F8" s="3" t="s">
        <v>80</v>
      </c>
    </row>
    <row r="9" customFormat="false" ht="23.85" hidden="false" customHeight="false" outlineLevel="0" collapsed="false">
      <c r="A9" s="3" t="s">
        <v>81</v>
      </c>
      <c r="B9" s="3" t="s">
        <v>82</v>
      </c>
      <c r="C9" s="3" t="s">
        <v>83</v>
      </c>
      <c r="D9" s="3" t="s">
        <v>84</v>
      </c>
      <c r="E9" s="3" t="s">
        <v>85</v>
      </c>
      <c r="F9" s="3" t="s">
        <v>86</v>
      </c>
    </row>
    <row r="10" customFormat="false" ht="23.85" hidden="false" customHeight="false" outlineLevel="0" collapsed="false">
      <c r="A10" s="3" t="s">
        <v>87</v>
      </c>
      <c r="B10" s="3" t="s">
        <v>88</v>
      </c>
      <c r="C10" s="3" t="s">
        <v>89</v>
      </c>
      <c r="D10" s="3" t="s">
        <v>90</v>
      </c>
      <c r="E10" s="3" t="s">
        <v>91</v>
      </c>
      <c r="F10" s="3" t="s">
        <v>92</v>
      </c>
    </row>
    <row r="11" customFormat="false" ht="23.85" hidden="false" customHeight="false" outlineLevel="0" collapsed="false">
      <c r="A11" s="3" t="s">
        <v>93</v>
      </c>
      <c r="B11" s="3" t="s">
        <v>94</v>
      </c>
      <c r="C11" s="3" t="s">
        <v>95</v>
      </c>
      <c r="D11" s="3" t="s">
        <v>96</v>
      </c>
      <c r="E11" s="3" t="s">
        <v>97</v>
      </c>
      <c r="F11" s="3" t="s">
        <v>98</v>
      </c>
    </row>
    <row r="12" customFormat="false" ht="23.85" hidden="false" customHeight="false" outlineLevel="0" collapsed="false">
      <c r="A12" s="3" t="s">
        <v>99</v>
      </c>
      <c r="B12" s="3" t="s">
        <v>100</v>
      </c>
      <c r="C12" s="3" t="s">
        <v>101</v>
      </c>
      <c r="D12" s="3" t="s">
        <v>102</v>
      </c>
      <c r="E12" s="3" t="s">
        <v>103</v>
      </c>
      <c r="F12" s="3" t="s">
        <v>104</v>
      </c>
    </row>
    <row r="13" customFormat="false" ht="23.85" hidden="false" customHeight="false" outlineLevel="0" collapsed="false">
      <c r="A13" s="3" t="s">
        <v>105</v>
      </c>
      <c r="B13" s="3" t="s">
        <v>106</v>
      </c>
      <c r="C13" s="3" t="s">
        <v>107</v>
      </c>
      <c r="D13" s="3" t="s">
        <v>108</v>
      </c>
      <c r="E13" s="3" t="s">
        <v>109</v>
      </c>
      <c r="F13" s="3" t="s">
        <v>110</v>
      </c>
    </row>
    <row r="14" customFormat="false" ht="23.85" hidden="false" customHeight="false" outlineLevel="0" collapsed="false">
      <c r="A14" s="3" t="s">
        <v>111</v>
      </c>
      <c r="B14" s="3" t="s">
        <v>100</v>
      </c>
      <c r="C14" s="3" t="s">
        <v>112</v>
      </c>
      <c r="D14" s="3" t="s">
        <v>113</v>
      </c>
      <c r="E14" s="3" t="s">
        <v>103</v>
      </c>
      <c r="F14" s="3" t="s">
        <v>114</v>
      </c>
    </row>
    <row r="17" customFormat="false" ht="15" hidden="false" customHeight="false" outlineLevel="0" collapsed="false">
      <c r="A17" s="8" t="s">
        <v>115</v>
      </c>
      <c r="B17" s="8"/>
      <c r="C17" s="8"/>
      <c r="D17" s="8"/>
      <c r="E17" s="8"/>
      <c r="F17" s="8"/>
    </row>
    <row r="19" customFormat="false" ht="26.85" hidden="false" customHeight="false" outlineLevel="0" collapsed="false">
      <c r="A19" s="2" t="s">
        <v>116</v>
      </c>
      <c r="B19" s="2" t="s">
        <v>117</v>
      </c>
      <c r="C19" s="2" t="s">
        <v>118</v>
      </c>
      <c r="D19" s="2" t="s">
        <v>119</v>
      </c>
    </row>
    <row r="20" customFormat="false" ht="23.85" hidden="false" customHeight="false" outlineLevel="0" collapsed="false">
      <c r="A20" s="3" t="s">
        <v>120</v>
      </c>
      <c r="B20" s="3" t="s">
        <v>121</v>
      </c>
      <c r="C20" s="3" t="s">
        <v>122</v>
      </c>
      <c r="D20" s="3" t="s">
        <v>123</v>
      </c>
    </row>
    <row r="21" customFormat="false" ht="23.85" hidden="false" customHeight="false" outlineLevel="0" collapsed="false">
      <c r="A21" s="3" t="s">
        <v>124</v>
      </c>
      <c r="B21" s="3" t="s">
        <v>125</v>
      </c>
      <c r="C21" s="3" t="s">
        <v>126</v>
      </c>
      <c r="D21" s="3" t="s">
        <v>127</v>
      </c>
    </row>
    <row r="22" customFormat="false" ht="23.85" hidden="false" customHeight="false" outlineLevel="0" collapsed="false">
      <c r="A22" s="3" t="s">
        <v>128</v>
      </c>
      <c r="B22" s="3" t="s">
        <v>129</v>
      </c>
      <c r="C22" s="3" t="s">
        <v>130</v>
      </c>
      <c r="D22" s="3" t="s">
        <v>131</v>
      </c>
    </row>
    <row r="23" customFormat="false" ht="23.85" hidden="false" customHeight="false" outlineLevel="0" collapsed="false">
      <c r="A23" s="3" t="s">
        <v>132</v>
      </c>
      <c r="B23" s="3" t="s">
        <v>133</v>
      </c>
      <c r="C23" s="3" t="s">
        <v>134</v>
      </c>
      <c r="D23" s="3" t="s">
        <v>135</v>
      </c>
    </row>
    <row r="24" customFormat="false" ht="23.85" hidden="false" customHeight="false" outlineLevel="0" collapsed="false">
      <c r="A24" s="3" t="s">
        <v>136</v>
      </c>
      <c r="B24" s="3" t="s">
        <v>137</v>
      </c>
      <c r="C24" s="3" t="s">
        <v>138</v>
      </c>
      <c r="D24" s="3" t="s">
        <v>139</v>
      </c>
    </row>
    <row r="25" customFormat="false" ht="23.85" hidden="false" customHeight="false" outlineLevel="0" collapsed="false">
      <c r="A25" s="3" t="s">
        <v>140</v>
      </c>
      <c r="B25" s="13" t="s">
        <v>141</v>
      </c>
      <c r="C25" s="14" t="s">
        <v>142</v>
      </c>
      <c r="D25" s="3" t="s">
        <v>143</v>
      </c>
    </row>
  </sheetData>
  <mergeCells count="3">
    <mergeCell ref="A1:F1"/>
    <mergeCell ref="A3:F3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144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 t="s">
        <v>145</v>
      </c>
      <c r="B3" s="8"/>
      <c r="C3" s="8"/>
      <c r="D3" s="8"/>
      <c r="E3" s="8"/>
      <c r="F3" s="8"/>
    </row>
    <row r="5" customFormat="false" ht="26.85" hidden="false" customHeight="false" outlineLevel="0" collapsed="false">
      <c r="A5" s="2" t="s">
        <v>146</v>
      </c>
      <c r="B5" s="2" t="s">
        <v>147</v>
      </c>
      <c r="C5" s="2" t="s">
        <v>148</v>
      </c>
      <c r="D5" s="2" t="s">
        <v>149</v>
      </c>
      <c r="E5" s="2" t="s">
        <v>150</v>
      </c>
      <c r="F5" s="2" t="s">
        <v>151</v>
      </c>
    </row>
    <row r="6" customFormat="false" ht="23.85" hidden="false" customHeight="false" outlineLevel="0" collapsed="false">
      <c r="A6" s="3" t="s">
        <v>152</v>
      </c>
      <c r="B6" s="15" t="n">
        <v>0.02</v>
      </c>
      <c r="C6" s="16" t="n">
        <v>10.58</v>
      </c>
      <c r="D6" s="3" t="s">
        <v>153</v>
      </c>
      <c r="E6" s="7" t="n">
        <f aca="false">C6</f>
        <v>10.58</v>
      </c>
      <c r="F6" s="3" t="s">
        <v>154</v>
      </c>
    </row>
    <row r="7" customFormat="false" ht="23.85" hidden="false" customHeight="false" outlineLevel="0" collapsed="false">
      <c r="A7" s="3" t="s">
        <v>155</v>
      </c>
      <c r="B7" s="15" t="n">
        <v>0.02</v>
      </c>
      <c r="C7" s="16" t="n">
        <v>12</v>
      </c>
      <c r="D7" s="3" t="s">
        <v>156</v>
      </c>
      <c r="E7" s="7" t="n">
        <f aca="false">C7*12</f>
        <v>144</v>
      </c>
      <c r="F7" s="3" t="s">
        <v>157</v>
      </c>
    </row>
    <row r="8" customFormat="false" ht="23.85" hidden="false" customHeight="false" outlineLevel="0" collapsed="false">
      <c r="A8" s="3" t="s">
        <v>158</v>
      </c>
      <c r="B8" s="15" t="n">
        <v>0.03</v>
      </c>
      <c r="C8" s="16" t="n">
        <v>15</v>
      </c>
      <c r="D8" s="3" t="s">
        <v>159</v>
      </c>
      <c r="E8" s="7" t="n">
        <f aca="false">C8*12</f>
        <v>180</v>
      </c>
      <c r="F8" s="3" t="s">
        <v>160</v>
      </c>
    </row>
    <row r="9" customFormat="false" ht="23.85" hidden="false" customHeight="false" outlineLevel="0" collapsed="false">
      <c r="A9" s="3" t="s">
        <v>161</v>
      </c>
      <c r="B9" s="15" t="n">
        <v>0.00023</v>
      </c>
      <c r="C9" s="16" t="n">
        <v>5</v>
      </c>
      <c r="D9" s="3" t="s">
        <v>162</v>
      </c>
      <c r="E9" s="7" t="n">
        <f aca="false">C9</f>
        <v>5</v>
      </c>
      <c r="F9" s="3" t="s">
        <v>163</v>
      </c>
    </row>
    <row r="10" customFormat="false" ht="23.85" hidden="false" customHeight="false" outlineLevel="0" collapsed="false">
      <c r="A10" s="3" t="s">
        <v>164</v>
      </c>
      <c r="B10" s="15" t="n">
        <v>0.02</v>
      </c>
      <c r="C10" s="16" t="n">
        <v>14</v>
      </c>
      <c r="D10" s="3" t="s">
        <v>165</v>
      </c>
      <c r="E10" s="7" t="n">
        <f aca="false">C10*12</f>
        <v>168</v>
      </c>
      <c r="F10" s="3" t="s">
        <v>166</v>
      </c>
    </row>
    <row r="11" customFormat="false" ht="23.85" hidden="false" customHeight="false" outlineLevel="0" collapsed="false">
      <c r="A11" s="3" t="s">
        <v>167</v>
      </c>
      <c r="B11" s="15" t="n">
        <v>0.05</v>
      </c>
      <c r="C11" s="16" t="n">
        <v>20</v>
      </c>
      <c r="D11" s="3" t="s">
        <v>168</v>
      </c>
      <c r="E11" s="7" t="n">
        <f aca="false">C11*12</f>
        <v>240</v>
      </c>
      <c r="F11" s="3" t="s">
        <v>169</v>
      </c>
    </row>
    <row r="14" customFormat="false" ht="15" hidden="false" customHeight="false" outlineLevel="0" collapsed="false">
      <c r="A14" s="8" t="s">
        <v>170</v>
      </c>
      <c r="B14" s="8"/>
      <c r="C14" s="8"/>
      <c r="D14" s="8"/>
      <c r="E14" s="8"/>
      <c r="F14" s="8"/>
    </row>
    <row r="16" customFormat="false" ht="15" hidden="false" customHeight="false" outlineLevel="0" collapsed="false">
      <c r="A16" s="2" t="s">
        <v>171</v>
      </c>
      <c r="B16" s="2" t="s">
        <v>172</v>
      </c>
      <c r="C16" s="2" t="s">
        <v>173</v>
      </c>
      <c r="D16" s="2" t="s">
        <v>174</v>
      </c>
      <c r="E16" s="2" t="s">
        <v>7</v>
      </c>
    </row>
    <row r="17" customFormat="false" ht="15" hidden="false" customHeight="false" outlineLevel="0" collapsed="false">
      <c r="A17" s="3" t="s">
        <v>175</v>
      </c>
      <c r="B17" s="4" t="n">
        <v>2</v>
      </c>
      <c r="C17" s="4" t="n">
        <v>3</v>
      </c>
      <c r="D17" s="4" t="n">
        <v>5</v>
      </c>
      <c r="E17" s="3" t="s">
        <v>176</v>
      </c>
    </row>
    <row r="18" customFormat="false" ht="23.85" hidden="false" customHeight="false" outlineLevel="0" collapsed="false">
      <c r="A18" s="3" t="s">
        <v>177</v>
      </c>
      <c r="B18" s="4" t="n">
        <v>15</v>
      </c>
      <c r="C18" s="4" t="n">
        <v>20</v>
      </c>
      <c r="D18" s="4" t="n">
        <v>25</v>
      </c>
      <c r="E18" s="3" t="s">
        <v>178</v>
      </c>
    </row>
    <row r="19" customFormat="false" ht="15" hidden="false" customHeight="false" outlineLevel="0" collapsed="false">
      <c r="A19" s="3" t="s">
        <v>179</v>
      </c>
      <c r="B19" s="6" t="n">
        <f aca="false">B17*B18</f>
        <v>30</v>
      </c>
      <c r="C19" s="6" t="n">
        <f aca="false">C17*C18</f>
        <v>60</v>
      </c>
      <c r="D19" s="6" t="n">
        <f aca="false">D17*D18</f>
        <v>125</v>
      </c>
      <c r="E19" s="3" t="s">
        <v>180</v>
      </c>
    </row>
    <row r="20" customFormat="false" ht="23.85" hidden="false" customHeight="false" outlineLevel="0" collapsed="false">
      <c r="A20" s="3" t="s">
        <v>181</v>
      </c>
      <c r="B20" s="5" t="n">
        <v>0.001</v>
      </c>
      <c r="C20" s="5" t="n">
        <v>0.001</v>
      </c>
      <c r="D20" s="5" t="n">
        <v>0.001</v>
      </c>
      <c r="E20" s="3" t="s">
        <v>182</v>
      </c>
    </row>
    <row r="21" customFormat="false" ht="23.85" hidden="false" customHeight="false" outlineLevel="0" collapsed="false">
      <c r="A21" s="3" t="s">
        <v>183</v>
      </c>
      <c r="B21" s="5" t="n">
        <v>0.025</v>
      </c>
      <c r="C21" s="5" t="n">
        <v>0.025</v>
      </c>
      <c r="D21" s="5" t="n">
        <v>0.025</v>
      </c>
      <c r="E21" s="3" t="s">
        <v>184</v>
      </c>
    </row>
    <row r="22" customFormat="false" ht="23.85" hidden="false" customHeight="false" outlineLevel="0" collapsed="false">
      <c r="A22" s="3" t="s">
        <v>185</v>
      </c>
      <c r="B22" s="5" t="n">
        <v>0.005</v>
      </c>
      <c r="C22" s="5" t="n">
        <v>0.01</v>
      </c>
      <c r="D22" s="5" t="n">
        <v>0.02</v>
      </c>
      <c r="E22" s="3" t="s">
        <v>186</v>
      </c>
    </row>
    <row r="23" customFormat="false" ht="23.85" hidden="false" customHeight="false" outlineLevel="0" collapsed="false">
      <c r="A23" s="3" t="s">
        <v>187</v>
      </c>
      <c r="B23" s="10" t="n">
        <f aca="false">B19*B22</f>
        <v>0.15</v>
      </c>
      <c r="C23" s="10" t="n">
        <f aca="false">C19*C22</f>
        <v>0.6</v>
      </c>
      <c r="D23" s="10" t="n">
        <f aca="false">D19*D22</f>
        <v>2.5</v>
      </c>
      <c r="E23" s="3" t="s">
        <v>188</v>
      </c>
    </row>
    <row r="26" customFormat="false" ht="15" hidden="false" customHeight="false" outlineLevel="0" collapsed="false">
      <c r="A26" s="8" t="s">
        <v>189</v>
      </c>
      <c r="B26" s="8"/>
      <c r="C26" s="8"/>
      <c r="D26" s="8"/>
      <c r="E26" s="8"/>
      <c r="F26" s="8"/>
    </row>
    <row r="28" customFormat="false" ht="26.85" hidden="false" customHeight="false" outlineLevel="0" collapsed="false">
      <c r="A28" s="2" t="s">
        <v>25</v>
      </c>
      <c r="B28" s="2" t="s">
        <v>147</v>
      </c>
      <c r="C28" s="2" t="s">
        <v>190</v>
      </c>
      <c r="D28" s="2" t="s">
        <v>191</v>
      </c>
      <c r="E28" s="2" t="s">
        <v>192</v>
      </c>
      <c r="F28" s="2" t="s">
        <v>193</v>
      </c>
    </row>
    <row r="29" customFormat="false" ht="15" hidden="false" customHeight="false" outlineLevel="0" collapsed="false">
      <c r="A29" s="3" t="s">
        <v>194</v>
      </c>
      <c r="B29" s="15" t="n">
        <v>0.02</v>
      </c>
      <c r="C29" s="16" t="n">
        <v>10</v>
      </c>
      <c r="D29" s="10" t="n">
        <f aca="false">B29*C29</f>
        <v>0.2</v>
      </c>
      <c r="E29" s="10" t="n">
        <f aca="false">C23</f>
        <v>0.6</v>
      </c>
      <c r="F29" s="10" t="n">
        <f aca="false">D29-E29</f>
        <v>-0.4</v>
      </c>
    </row>
    <row r="30" customFormat="false" ht="15" hidden="false" customHeight="false" outlineLevel="0" collapsed="false">
      <c r="A30" s="3" t="s">
        <v>195</v>
      </c>
      <c r="B30" s="15" t="n">
        <v>0.03</v>
      </c>
      <c r="C30" s="16" t="n">
        <v>15</v>
      </c>
      <c r="D30" s="10" t="n">
        <f aca="false">B30*C30</f>
        <v>0.45</v>
      </c>
      <c r="E30" s="10" t="n">
        <f aca="false">C23</f>
        <v>0.6</v>
      </c>
      <c r="F30" s="10" t="n">
        <f aca="false">D30-E30</f>
        <v>-0.15</v>
      </c>
    </row>
    <row r="31" customFormat="false" ht="15" hidden="false" customHeight="false" outlineLevel="0" collapsed="false">
      <c r="A31" s="3" t="s">
        <v>196</v>
      </c>
      <c r="B31" s="15" t="n">
        <v>0.05</v>
      </c>
      <c r="C31" s="16" t="n">
        <v>20</v>
      </c>
      <c r="D31" s="10" t="n">
        <f aca="false">B31*C31</f>
        <v>1</v>
      </c>
      <c r="E31" s="10" t="n">
        <f aca="false">C23</f>
        <v>0.6</v>
      </c>
      <c r="F31" s="10" t="n">
        <f aca="false">D31-E31</f>
        <v>0.4</v>
      </c>
    </row>
    <row r="32" customFormat="false" ht="15" hidden="false" customHeight="false" outlineLevel="0" collapsed="false">
      <c r="A32" s="3" t="s">
        <v>197</v>
      </c>
      <c r="B32" s="15" t="n">
        <v>0.08</v>
      </c>
      <c r="C32" s="16" t="n">
        <v>25</v>
      </c>
      <c r="D32" s="10" t="n">
        <f aca="false">B32*C32</f>
        <v>2</v>
      </c>
      <c r="E32" s="10" t="n">
        <f aca="false">C23</f>
        <v>0.6</v>
      </c>
      <c r="F32" s="10" t="n">
        <f aca="false">D32-E32</f>
        <v>1.4</v>
      </c>
    </row>
    <row r="33" customFormat="false" ht="15" hidden="false" customHeight="false" outlineLevel="0" collapsed="false">
      <c r="A33" s="3" t="s">
        <v>198</v>
      </c>
      <c r="B33" s="15" t="n">
        <v>0.02</v>
      </c>
      <c r="C33" s="16" t="n">
        <v>10</v>
      </c>
      <c r="D33" s="10" t="n">
        <f aca="false">B33*C33</f>
        <v>0.2</v>
      </c>
      <c r="E33" s="10" t="n">
        <f aca="false">B23</f>
        <v>0.15</v>
      </c>
      <c r="F33" s="10" t="n">
        <f aca="false">D33-E33</f>
        <v>0.05</v>
      </c>
    </row>
    <row r="34" customFormat="false" ht="15" hidden="false" customHeight="false" outlineLevel="0" collapsed="false">
      <c r="A34" s="3" t="s">
        <v>199</v>
      </c>
      <c r="B34" s="15" t="n">
        <v>0.05</v>
      </c>
      <c r="C34" s="16" t="n">
        <v>15</v>
      </c>
      <c r="D34" s="10" t="n">
        <f aca="false">B34*C34</f>
        <v>0.75</v>
      </c>
      <c r="E34" s="10" t="n">
        <f aca="false">B23</f>
        <v>0.15</v>
      </c>
      <c r="F34" s="10" t="n">
        <f aca="false">D34-E34</f>
        <v>0.6</v>
      </c>
    </row>
    <row r="35" customFormat="false" ht="15" hidden="false" customHeight="false" outlineLevel="0" collapsed="false">
      <c r="A35" s="3" t="s">
        <v>200</v>
      </c>
      <c r="B35" s="15" t="n">
        <v>0.08</v>
      </c>
      <c r="C35" s="16" t="n">
        <v>20</v>
      </c>
      <c r="D35" s="10" t="n">
        <f aca="false">B35*C35</f>
        <v>1.6</v>
      </c>
      <c r="E35" s="10" t="n">
        <f aca="false">B23</f>
        <v>0.15</v>
      </c>
      <c r="F35" s="10" t="n">
        <f aca="false">D35-E35</f>
        <v>1.45</v>
      </c>
    </row>
    <row r="37" customFormat="false" ht="45" hidden="false" customHeight="true" outlineLevel="0" collapsed="false">
      <c r="A37" s="11" t="s">
        <v>201</v>
      </c>
      <c r="B37" s="11"/>
      <c r="C37" s="11"/>
      <c r="D37" s="11"/>
      <c r="E37" s="11"/>
      <c r="F37" s="11"/>
    </row>
    <row r="39" customFormat="false" ht="15" hidden="false" customHeight="false" outlineLevel="0" collapsed="false">
      <c r="A39" s="8" t="s">
        <v>202</v>
      </c>
      <c r="B39" s="8"/>
      <c r="C39" s="8"/>
      <c r="D39" s="8"/>
      <c r="E39" s="8"/>
      <c r="F39" s="8"/>
    </row>
    <row r="41" customFormat="false" ht="26.85" hidden="false" customHeight="false" outlineLevel="0" collapsed="false">
      <c r="A41" s="2" t="s">
        <v>203</v>
      </c>
      <c r="B41" s="2" t="s">
        <v>25</v>
      </c>
      <c r="C41" s="2" t="s">
        <v>204</v>
      </c>
      <c r="D41" s="2" t="s">
        <v>205</v>
      </c>
      <c r="E41" s="2" t="s">
        <v>206</v>
      </c>
      <c r="F41" s="2" t="s">
        <v>207</v>
      </c>
    </row>
    <row r="42" customFormat="false" ht="15" hidden="false" customHeight="false" outlineLevel="0" collapsed="false">
      <c r="A42" s="17" t="n">
        <v>100</v>
      </c>
      <c r="B42" s="18" t="s">
        <v>208</v>
      </c>
      <c r="C42" s="19" t="n">
        <f aca="false">A42*0.05*15</f>
        <v>75</v>
      </c>
      <c r="D42" s="19" t="n">
        <f aca="false">A42*0.03</f>
        <v>3</v>
      </c>
      <c r="E42" s="19" t="n">
        <f aca="false">C42-D42</f>
        <v>72</v>
      </c>
      <c r="F42" s="19" t="n">
        <f aca="false">E42*12</f>
        <v>864</v>
      </c>
    </row>
    <row r="43" customFormat="false" ht="15" hidden="false" customHeight="false" outlineLevel="0" collapsed="false">
      <c r="A43" s="17" t="n">
        <v>500</v>
      </c>
      <c r="B43" s="18" t="s">
        <v>208</v>
      </c>
      <c r="C43" s="19" t="n">
        <f aca="false">A43*0.05*15</f>
        <v>375</v>
      </c>
      <c r="D43" s="19" t="n">
        <f aca="false">A43*0.03</f>
        <v>15</v>
      </c>
      <c r="E43" s="19" t="n">
        <f aca="false">C43-D43</f>
        <v>360</v>
      </c>
      <c r="F43" s="19" t="n">
        <f aca="false">E43*12</f>
        <v>4320</v>
      </c>
    </row>
    <row r="44" customFormat="false" ht="15" hidden="false" customHeight="false" outlineLevel="0" collapsed="false">
      <c r="A44" s="17" t="n">
        <v>1000</v>
      </c>
      <c r="B44" s="18" t="s">
        <v>208</v>
      </c>
      <c r="C44" s="19" t="n">
        <f aca="false">A44*0.05*15</f>
        <v>750</v>
      </c>
      <c r="D44" s="19" t="n">
        <f aca="false">A44*0.03</f>
        <v>30</v>
      </c>
      <c r="E44" s="19" t="n">
        <f aca="false">C44-D44</f>
        <v>720</v>
      </c>
      <c r="F44" s="19" t="n">
        <f aca="false">E44*12</f>
        <v>8640</v>
      </c>
    </row>
    <row r="45" customFormat="false" ht="15" hidden="false" customHeight="false" outlineLevel="0" collapsed="false">
      <c r="A45" s="17" t="n">
        <v>2500</v>
      </c>
      <c r="B45" s="18" t="s">
        <v>208</v>
      </c>
      <c r="C45" s="19" t="n">
        <f aca="false">A45*0.05*15</f>
        <v>1875</v>
      </c>
      <c r="D45" s="19" t="n">
        <f aca="false">A45*0.03</f>
        <v>75</v>
      </c>
      <c r="E45" s="19" t="n">
        <f aca="false">C45-D45</f>
        <v>1800</v>
      </c>
      <c r="F45" s="19" t="n">
        <f aca="false">E45*12</f>
        <v>21600</v>
      </c>
    </row>
    <row r="46" customFormat="false" ht="15" hidden="false" customHeight="false" outlineLevel="0" collapsed="false">
      <c r="A46" s="17" t="n">
        <v>5000</v>
      </c>
      <c r="B46" s="18" t="s">
        <v>208</v>
      </c>
      <c r="C46" s="19" t="n">
        <f aca="false">A46*0.05*15</f>
        <v>3750</v>
      </c>
      <c r="D46" s="19" t="n">
        <f aca="false">A46*0.03</f>
        <v>150</v>
      </c>
      <c r="E46" s="19" t="n">
        <f aca="false">C46-D46</f>
        <v>3600</v>
      </c>
      <c r="F46" s="19" t="n">
        <f aca="false">E46*12</f>
        <v>43200</v>
      </c>
    </row>
    <row r="47" customFormat="false" ht="15" hidden="false" customHeight="false" outlineLevel="0" collapsed="false">
      <c r="A47" s="17" t="n">
        <v>10000</v>
      </c>
      <c r="B47" s="18" t="s">
        <v>208</v>
      </c>
      <c r="C47" s="19" t="n">
        <f aca="false">A47*0.05*15</f>
        <v>7500</v>
      </c>
      <c r="D47" s="19" t="n">
        <f aca="false">A47*0.03</f>
        <v>300</v>
      </c>
      <c r="E47" s="19" t="n">
        <f aca="false">C47-D47</f>
        <v>7200</v>
      </c>
      <c r="F47" s="19" t="n">
        <f aca="false">E47*12</f>
        <v>86400</v>
      </c>
    </row>
  </sheetData>
  <mergeCells count="6">
    <mergeCell ref="A1:F1"/>
    <mergeCell ref="A3:F3"/>
    <mergeCell ref="A14:F14"/>
    <mergeCell ref="A26:F26"/>
    <mergeCell ref="A37:F37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209</v>
      </c>
      <c r="B1" s="1"/>
      <c r="C1" s="1"/>
      <c r="D1" s="1"/>
      <c r="E1" s="1"/>
    </row>
    <row r="3" customFormat="false" ht="26.85" hidden="false" customHeight="false" outlineLevel="0" collapsed="false">
      <c r="A3" s="2" t="s">
        <v>210</v>
      </c>
      <c r="B3" s="2" t="s">
        <v>211</v>
      </c>
      <c r="C3" s="2" t="s">
        <v>212</v>
      </c>
      <c r="D3" s="2" t="s">
        <v>213</v>
      </c>
      <c r="E3" s="2" t="s">
        <v>214</v>
      </c>
    </row>
    <row r="4" customFormat="false" ht="35.05" hidden="false" customHeight="false" outlineLevel="0" collapsed="false">
      <c r="A4" s="3" t="s">
        <v>215</v>
      </c>
      <c r="B4" s="3" t="s">
        <v>216</v>
      </c>
      <c r="C4" s="3" t="s">
        <v>217</v>
      </c>
      <c r="D4" s="3" t="s">
        <v>218</v>
      </c>
      <c r="E4" s="14" t="s">
        <v>219</v>
      </c>
    </row>
    <row r="5" customFormat="false" ht="23.85" hidden="false" customHeight="false" outlineLevel="0" collapsed="false">
      <c r="A5" s="3" t="s">
        <v>220</v>
      </c>
      <c r="B5" s="3" t="s">
        <v>221</v>
      </c>
      <c r="C5" s="3" t="s">
        <v>222</v>
      </c>
      <c r="D5" s="3" t="s">
        <v>223</v>
      </c>
      <c r="E5" s="14" t="s">
        <v>224</v>
      </c>
    </row>
    <row r="6" customFormat="false" ht="35.05" hidden="false" customHeight="false" outlineLevel="0" collapsed="false">
      <c r="A6" s="3" t="s">
        <v>225</v>
      </c>
      <c r="B6" s="3" t="s">
        <v>226</v>
      </c>
      <c r="C6" s="3" t="s">
        <v>227</v>
      </c>
      <c r="D6" s="3" t="s">
        <v>228</v>
      </c>
      <c r="E6" s="20" t="s">
        <v>229</v>
      </c>
    </row>
    <row r="7" customFormat="false" ht="23.85" hidden="false" customHeight="false" outlineLevel="0" collapsed="false">
      <c r="A7" s="3" t="s">
        <v>230</v>
      </c>
      <c r="B7" s="3" t="s">
        <v>231</v>
      </c>
      <c r="C7" s="3" t="s">
        <v>232</v>
      </c>
      <c r="D7" s="3" t="s">
        <v>233</v>
      </c>
      <c r="E7" s="14" t="s">
        <v>234</v>
      </c>
    </row>
    <row r="8" customFormat="false" ht="35.05" hidden="false" customHeight="false" outlineLevel="0" collapsed="false">
      <c r="A8" s="3" t="s">
        <v>235</v>
      </c>
      <c r="B8" s="3" t="s">
        <v>236</v>
      </c>
      <c r="C8" s="3" t="s">
        <v>237</v>
      </c>
      <c r="D8" s="3" t="s">
        <v>238</v>
      </c>
      <c r="E8" s="13" t="s">
        <v>239</v>
      </c>
    </row>
    <row r="9" customFormat="false" ht="23.85" hidden="false" customHeight="false" outlineLevel="0" collapsed="false">
      <c r="A9" s="3" t="s">
        <v>240</v>
      </c>
      <c r="B9" s="3" t="s">
        <v>241</v>
      </c>
      <c r="C9" s="3" t="s">
        <v>242</v>
      </c>
      <c r="D9" s="3" t="s">
        <v>243</v>
      </c>
      <c r="E9" s="20" t="s">
        <v>244</v>
      </c>
    </row>
    <row r="12" customFormat="false" ht="15" hidden="false" customHeight="false" outlineLevel="0" collapsed="false">
      <c r="A12" s="8" t="s">
        <v>245</v>
      </c>
      <c r="B12" s="8"/>
      <c r="C12" s="8"/>
      <c r="D12" s="8"/>
      <c r="E12" s="8"/>
    </row>
    <row r="14" customFormat="false" ht="26.85" hidden="false" customHeight="false" outlineLevel="0" collapsed="false">
      <c r="A14" s="2" t="s">
        <v>246</v>
      </c>
      <c r="B14" s="2" t="s">
        <v>247</v>
      </c>
      <c r="C14" s="2" t="s">
        <v>151</v>
      </c>
      <c r="D14" s="2" t="s">
        <v>248</v>
      </c>
    </row>
    <row r="15" customFormat="false" ht="23.85" hidden="false" customHeight="false" outlineLevel="0" collapsed="false">
      <c r="A15" s="3" t="s">
        <v>249</v>
      </c>
      <c r="B15" s="3" t="s">
        <v>250</v>
      </c>
      <c r="C15" s="3" t="s">
        <v>251</v>
      </c>
      <c r="D15" s="3" t="s">
        <v>252</v>
      </c>
    </row>
    <row r="16" customFormat="false" ht="35.05" hidden="false" customHeight="false" outlineLevel="0" collapsed="false">
      <c r="A16" s="3" t="s">
        <v>253</v>
      </c>
      <c r="B16" s="3" t="s">
        <v>254</v>
      </c>
      <c r="C16" s="3" t="s">
        <v>255</v>
      </c>
      <c r="D16" s="3" t="s">
        <v>256</v>
      </c>
    </row>
    <row r="17" customFormat="false" ht="23.85" hidden="false" customHeight="false" outlineLevel="0" collapsed="false">
      <c r="A17" s="3" t="s">
        <v>257</v>
      </c>
      <c r="B17" s="3" t="s">
        <v>258</v>
      </c>
      <c r="C17" s="3" t="s">
        <v>259</v>
      </c>
      <c r="D17" s="3" t="s">
        <v>260</v>
      </c>
    </row>
    <row r="18" customFormat="false" ht="35.05" hidden="false" customHeight="false" outlineLevel="0" collapsed="false">
      <c r="A18" s="3" t="s">
        <v>261</v>
      </c>
      <c r="B18" s="3" t="s">
        <v>262</v>
      </c>
      <c r="C18" s="3" t="s">
        <v>263</v>
      </c>
      <c r="D18" s="3" t="s">
        <v>264</v>
      </c>
    </row>
    <row r="19" customFormat="false" ht="35.05" hidden="false" customHeight="false" outlineLevel="0" collapsed="false">
      <c r="A19" s="3" t="s">
        <v>265</v>
      </c>
      <c r="B19" s="3" t="s">
        <v>266</v>
      </c>
      <c r="C19" s="3" t="s">
        <v>267</v>
      </c>
      <c r="D19" s="3" t="s">
        <v>268</v>
      </c>
    </row>
    <row r="20" customFormat="false" ht="23.85" hidden="false" customHeight="false" outlineLevel="0" collapsed="false">
      <c r="A20" s="3" t="s">
        <v>269</v>
      </c>
      <c r="B20" s="3" t="s">
        <v>270</v>
      </c>
      <c r="C20" s="3" t="s">
        <v>271</v>
      </c>
      <c r="D20" s="3" t="s">
        <v>272</v>
      </c>
    </row>
  </sheetData>
  <mergeCells count="2">
    <mergeCell ref="A1:E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273</v>
      </c>
      <c r="B1" s="1"/>
      <c r="C1" s="1"/>
      <c r="D1" s="1"/>
    </row>
    <row r="3" customFormat="false" ht="15" hidden="false" customHeight="false" outlineLevel="0" collapsed="false">
      <c r="A3" s="2" t="s">
        <v>274</v>
      </c>
      <c r="B3" s="2" t="s">
        <v>275</v>
      </c>
      <c r="C3" s="2" t="s">
        <v>276</v>
      </c>
      <c r="D3" s="2" t="s">
        <v>277</v>
      </c>
    </row>
    <row r="4" customFormat="false" ht="46.25" hidden="false" customHeight="false" outlineLevel="0" collapsed="false">
      <c r="A4" s="3" t="s">
        <v>278</v>
      </c>
      <c r="B4" s="3" t="s">
        <v>279</v>
      </c>
      <c r="C4" s="3" t="s">
        <v>280</v>
      </c>
      <c r="D4" s="21" t="s">
        <v>281</v>
      </c>
    </row>
    <row r="5" customFormat="false" ht="46.25" hidden="false" customHeight="false" outlineLevel="0" collapsed="false">
      <c r="A5" s="3" t="s">
        <v>282</v>
      </c>
      <c r="B5" s="3" t="s">
        <v>283</v>
      </c>
      <c r="C5" s="3" t="s">
        <v>284</v>
      </c>
      <c r="D5" s="21" t="s">
        <v>281</v>
      </c>
    </row>
    <row r="6" customFormat="false" ht="35.05" hidden="false" customHeight="false" outlineLevel="0" collapsed="false">
      <c r="A6" s="3" t="s">
        <v>285</v>
      </c>
      <c r="B6" s="3" t="s">
        <v>286</v>
      </c>
      <c r="C6" s="3" t="s">
        <v>287</v>
      </c>
      <c r="D6" s="21" t="s">
        <v>281</v>
      </c>
    </row>
    <row r="7" customFormat="false" ht="57.45" hidden="false" customHeight="false" outlineLevel="0" collapsed="false">
      <c r="A7" s="3" t="s">
        <v>288</v>
      </c>
      <c r="B7" s="3" t="s">
        <v>289</v>
      </c>
      <c r="C7" s="3" t="s">
        <v>290</v>
      </c>
      <c r="D7" s="21" t="s">
        <v>281</v>
      </c>
    </row>
    <row r="8" customFormat="false" ht="35.05" hidden="false" customHeight="false" outlineLevel="0" collapsed="false">
      <c r="A8" s="3" t="s">
        <v>291</v>
      </c>
      <c r="B8" s="3" t="s">
        <v>292</v>
      </c>
      <c r="C8" s="3" t="s">
        <v>293</v>
      </c>
      <c r="D8" s="20" t="s">
        <v>294</v>
      </c>
    </row>
    <row r="9" customFormat="false" ht="35.05" hidden="false" customHeight="false" outlineLevel="0" collapsed="false">
      <c r="A9" s="3" t="s">
        <v>295</v>
      </c>
      <c r="B9" s="3" t="s">
        <v>296</v>
      </c>
      <c r="C9" s="3" t="s">
        <v>297</v>
      </c>
      <c r="D9" s="20" t="s">
        <v>294</v>
      </c>
    </row>
    <row r="10" customFormat="false" ht="46.25" hidden="false" customHeight="false" outlineLevel="0" collapsed="false">
      <c r="A10" s="3" t="s">
        <v>298</v>
      </c>
      <c r="B10" s="3" t="s">
        <v>299</v>
      </c>
      <c r="C10" s="3" t="s">
        <v>300</v>
      </c>
      <c r="D10" s="20" t="s">
        <v>294</v>
      </c>
    </row>
    <row r="11" customFormat="false" ht="35.05" hidden="false" customHeight="false" outlineLevel="0" collapsed="false">
      <c r="A11" s="3" t="s">
        <v>301</v>
      </c>
      <c r="B11" s="3" t="s">
        <v>302</v>
      </c>
      <c r="C11" s="3" t="s">
        <v>303</v>
      </c>
      <c r="D11" s="20" t="s">
        <v>294</v>
      </c>
    </row>
    <row r="12" customFormat="false" ht="35.05" hidden="false" customHeight="false" outlineLevel="0" collapsed="false">
      <c r="A12" s="3" t="s">
        <v>304</v>
      </c>
      <c r="B12" s="3" t="s">
        <v>305</v>
      </c>
      <c r="C12" s="3" t="s">
        <v>306</v>
      </c>
      <c r="D12" s="21" t="s">
        <v>281</v>
      </c>
    </row>
    <row r="13" customFormat="false" ht="46.25" hidden="false" customHeight="false" outlineLevel="0" collapsed="false">
      <c r="A13" s="3" t="s">
        <v>307</v>
      </c>
      <c r="B13" s="3" t="s">
        <v>308</v>
      </c>
      <c r="C13" s="3" t="s">
        <v>309</v>
      </c>
      <c r="D13" s="21" t="s">
        <v>281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2026-04-03T00:09:21Z</dcterms:created>
  <dc:creator>openpyxl</dc:creator>
  <dc:description/>
  <dc:language>en-US</dc:language>
  <cp:lastModifiedBy/>
  <dcterms:modified xsi:type="dcterms:W3CDTF">2026-04-03T00:09:21Z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